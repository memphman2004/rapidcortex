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comment1.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0" yWindow="920" windowWidth="34580" windowHeight="19060" tabRatio="500" firstSheet="12" activeTab="25" autoFilterDateGrouping="1"/>
  </bookViews>
  <sheets>
    <sheet name="Cover" sheetId="1" state="visible" r:id="rId1"/>
    <sheet name="Sales Definitions" sheetId="2" state="visible" r:id="rId2"/>
    <sheet name="Essential" sheetId="3" state="visible" r:id="rId3"/>
    <sheet name="Professional" sheetId="4" state="visible" r:id="rId4"/>
    <sheet name="Command" sheetId="5" state="visible" r:id="rId5"/>
    <sheet name="Enterprise" sheetId="6" state="visible" r:id="rId6"/>
    <sheet name="CAD Integration" sheetId="7" state="visible" r:id="rId7"/>
    <sheet name="Caller Media" sheetId="8" state="visible" r:id="rId8"/>
    <sheet name="Supervisor QA" sheetId="9" state="visible" r:id="rId9"/>
    <sheet name="Transcription" sheetId="10" state="visible" r:id="rId10"/>
    <sheet name="Incident Command" sheetId="11" state="visible" r:id="rId11"/>
    <sheet name="Reliability Ops" sheetId="12" state="visible" r:id="rId12"/>
    <sheet name="Onsite Services" sheetId="13" state="visible" r:id="rId13"/>
    <sheet name="Training" sheetId="14" state="visible" r:id="rId14"/>
    <sheet name="Support" sheetId="15" state="visible" r:id="rId15"/>
    <sheet name="Storage Overages" sheetId="16" state="visible" r:id="rId16"/>
    <sheet name="Pilot Programs" sheetId="17" state="visible" r:id="rId17"/>
    <sheet name="Discounting" sheetId="18" state="visible" r:id="rId18"/>
    <sheet name="RC Campus" sheetId="19" state="visible" r:id="rId19"/>
    <sheet name="RC Venue" sheetId="20" state="visible" r:id="rId20"/>
    <sheet name="RC Hospital" sheetId="21" state="visible" r:id="rId21"/>
    <sheet name="RC Transit" sheetId="22" state="visible" r:id="rId22"/>
    <sheet name="Verticals Overview" sheetId="23" state="visible" r:id="rId23"/>
    <sheet name="Feature Add-Ons" sheetId="24" state="visible" r:id="rId24"/>
    <sheet name="AI Intelligence" sheetId="25" state="visible" r:id="rId25"/>
    <sheet name="Client Quote" sheetId="26" state="visible" r:id="rId26"/>
    <sheet name="Quote Builder" sheetId="27" state="visible" r:id="rId27"/>
  </sheets>
  <definedNames>
    <definedName name="_xlnm._FilterDatabase" localSheetId="1" hidden="1">'Sales Definitions'!$A$5:$H$90</definedName>
    <definedName name="_xlnm.Print_Area" localSheetId="25">'Client Quote'!$A$1:$J$95</definedName>
  </definedNames>
  <calcPr calcId="191029" fullCalcOnLoad="1" iterateDelta="0.0001"/>
</workbook>
</file>

<file path=xl/styles.xml><?xml version="1.0" encoding="utf-8"?>
<styleSheet xmlns="http://schemas.openxmlformats.org/spreadsheetml/2006/main">
  <numFmts count="3">
    <numFmt numFmtId="164" formatCode="\$#,##0;&quot;($&quot;#,##0\);\-"/>
    <numFmt numFmtId="165" formatCode="\$#,##0.000;&quot;($&quot;#,##0.000\);\-"/>
    <numFmt numFmtId="166" formatCode="mmmm\ d&quot;, &quot;yyyy"/>
  </numFmts>
  <fonts count="74">
    <font>
      <name val="Calibri"/>
      <charset val="1"/>
      <family val="2"/>
      <color theme="1"/>
      <sz val="11"/>
    </font>
    <font>
      <name val="Arial"/>
      <family val="2"/>
      <b val="1"/>
      <color rgb="FFFFFFFF"/>
      <sz val="22"/>
    </font>
    <font>
      <name val="Arial"/>
      <family val="2"/>
      <b val="1"/>
      <color rgb="FFFFFFFF"/>
      <sz val="13"/>
    </font>
    <font>
      <name val="Arial"/>
      <family val="2"/>
      <i val="1"/>
      <color rgb="FFFFFFFF"/>
      <sz val="11"/>
    </font>
    <font>
      <name val="Arial"/>
      <family val="2"/>
      <b val="1"/>
      <color rgb="FFFFFFFF"/>
      <sz val="10"/>
    </font>
    <font>
      <name val="Arial"/>
      <family val="2"/>
      <b val="1"/>
      <color rgb="FF1A1A2E"/>
      <sz val="10"/>
    </font>
    <font>
      <name val="Arial"/>
      <family val="2"/>
      <color rgb="FF5A5A72"/>
      <sz val="10"/>
    </font>
    <font>
      <name val="Arial"/>
      <family val="2"/>
      <b val="1"/>
      <color rgb="FFFFFFFF"/>
      <sz val="9"/>
    </font>
    <font>
      <name val="Arial"/>
      <family val="2"/>
      <color rgb="FF1A1A2E"/>
      <sz val="10"/>
    </font>
    <font>
      <name val="Arial"/>
      <family val="2"/>
      <color rgb="FF000000"/>
      <sz val="10"/>
    </font>
    <font>
      <name val="Arial"/>
      <family val="2"/>
      <b val="1"/>
      <color rgb="FFFFFFFF"/>
      <sz val="14"/>
    </font>
    <font>
      <name val="Arial"/>
      <family val="2"/>
      <b val="1"/>
      <color rgb="FFFFFFFF"/>
      <sz val="12"/>
    </font>
    <font>
      <name val="Arial"/>
      <family val="2"/>
      <i val="1"/>
      <color rgb="FFFFFFFF"/>
      <sz val="10"/>
    </font>
    <font>
      <name val="Arial"/>
      <family val="2"/>
      <color rgb="FF1F4E79"/>
      <sz val="10"/>
    </font>
    <font>
      <name val="Arial"/>
      <family val="2"/>
      <color rgb="FF1D6A35"/>
      <sz val="10"/>
    </font>
    <font>
      <name val="Arial"/>
      <family val="2"/>
      <i val="1"/>
      <color rgb="FFB8C8D8"/>
      <sz val="9"/>
    </font>
    <font>
      <name val="Arial"/>
      <family val="2"/>
      <i val="1"/>
      <color rgb="FF7D6608"/>
      <sz val="9"/>
    </font>
    <font>
      <name val="Arial"/>
      <family val="2"/>
      <color rgb="FFC0392B"/>
      <sz val="10"/>
    </font>
    <font>
      <name val="Arial"/>
      <family val="2"/>
      <i val="1"/>
      <color rgb="FFC0392B"/>
      <sz val="9"/>
    </font>
    <font>
      <name val="Calibri"/>
      <family val="2"/>
      <b val="1"/>
      <color rgb="FFFFFFFF"/>
      <sz val="16"/>
    </font>
    <font>
      <name val="Calibri"/>
      <family val="2"/>
      <b val="1"/>
      <color rgb="FFFFFFFF"/>
      <sz val="11"/>
    </font>
    <font>
      <name val="Calibri"/>
      <family val="2"/>
      <b val="1"/>
      <color rgb="FFFFFFFF"/>
      <sz val="9"/>
    </font>
    <font>
      <name val="Calibri"/>
      <family val="2"/>
      <i val="1"/>
      <color rgb="FFC0392B"/>
      <sz val="9"/>
    </font>
    <font>
      <name val="Calibri"/>
      <family val="2"/>
      <b val="1"/>
      <color rgb="FFFFFFFF"/>
      <sz val="10"/>
    </font>
    <font>
      <name val="Calibri"/>
      <family val="2"/>
      <b val="1"/>
      <color rgb="FFFFFFFF"/>
      <sz val="8"/>
    </font>
    <font>
      <name val="Calibri"/>
      <family val="2"/>
      <color rgb="FF1A1A2E"/>
      <sz val="10"/>
    </font>
    <font>
      <name val="Calibri"/>
      <family val="2"/>
      <b val="1"/>
      <color rgb="FF1F4E79"/>
      <sz val="10"/>
    </font>
    <font>
      <name val="Calibri"/>
      <family val="2"/>
      <b val="1"/>
      <color rgb="FFC0392B"/>
      <sz val="10"/>
    </font>
    <font>
      <name val="Calibri"/>
      <family val="2"/>
      <b val="1"/>
      <color rgb="FF1A1A2E"/>
      <sz val="10"/>
    </font>
    <font>
      <name val="Calibri"/>
      <family val="2"/>
      <i val="1"/>
      <color rgb="FF6B7280"/>
      <sz val="9"/>
    </font>
    <font>
      <name val="Calibri"/>
      <family val="2"/>
      <b val="1"/>
      <color rgb="FF1D6A35"/>
      <sz val="10"/>
    </font>
    <font>
      <name val="Calibri"/>
      <family val="2"/>
      <b val="1"/>
      <color rgb="FFC0392B"/>
      <sz val="9"/>
    </font>
    <font>
      <name val="Calibri"/>
      <family val="2"/>
      <color rgb="FF6B7280"/>
      <sz val="9"/>
    </font>
    <font>
      <name val="Calibri"/>
      <family val="2"/>
      <b val="1"/>
      <color rgb="FF7D6608"/>
      <sz val="10"/>
    </font>
    <font>
      <name val="Calibri"/>
      <family val="2"/>
      <b val="1"/>
      <color rgb="FF1D6A35"/>
      <sz val="11"/>
    </font>
    <font>
      <name val="Calibri"/>
      <family val="2"/>
      <b val="1"/>
      <color rgb="FFFFFFFF"/>
      <sz val="22"/>
    </font>
    <font>
      <name val="Calibri"/>
      <family val="2"/>
      <i val="1"/>
      <color rgb="FFFFFFFF"/>
      <sz val="10"/>
    </font>
    <font>
      <name val="Calibri"/>
      <family val="2"/>
      <b val="1"/>
      <color rgb="FFFFFFFF"/>
      <sz val="14"/>
    </font>
    <font>
      <name val="Calibri"/>
      <family val="2"/>
      <i val="1"/>
      <color rgb="FFFFFFFF"/>
      <sz val="11"/>
    </font>
    <font>
      <name val="Calibri"/>
      <family val="2"/>
      <color rgb="FF6B7280"/>
      <sz val="10"/>
    </font>
    <font>
      <name val="Calibri"/>
      <family val="2"/>
      <b val="1"/>
      <color rgb="FF1A1A2E"/>
      <sz val="8"/>
    </font>
    <font>
      <name val="Calibri"/>
      <family val="2"/>
      <color rgb="FF1A1A2E"/>
      <sz val="9"/>
    </font>
    <font>
      <name val="Calibri"/>
      <family val="2"/>
      <color rgb="FFFFFFFF"/>
      <sz val="8"/>
    </font>
    <font>
      <name val="Arial"/>
      <family val="2"/>
      <b val="1"/>
      <color rgb="FFFFFFFF"/>
      <sz val="11"/>
    </font>
    <font>
      <name val="Arial"/>
      <family val="2"/>
      <color rgb="FFBDD7EE"/>
      <sz val="10"/>
    </font>
    <font>
      <name val="Arial"/>
      <family val="2"/>
      <b val="1"/>
      <color rgb="FF0D1B4B"/>
      <sz val="10"/>
    </font>
    <font>
      <name val="Arial"/>
      <family val="2"/>
      <color rgb="FF0000FF"/>
      <sz val="10"/>
    </font>
    <font>
      <name val="Arial"/>
      <family val="2"/>
      <color rgb="FF595959"/>
      <sz val="9"/>
    </font>
    <font>
      <name val="Arial"/>
      <family val="2"/>
      <b val="1"/>
      <color rgb="FF006400"/>
      <sz val="10"/>
    </font>
    <font>
      <name val="Arial"/>
      <family val="2"/>
      <color rgb="FF7F6000"/>
      <sz val="9"/>
    </font>
    <font>
      <name val="Arial"/>
      <family val="2"/>
      <color rgb="FF0D1B4B"/>
      <sz val="9"/>
    </font>
    <font>
      <name val="Arial"/>
      <family val="2"/>
      <b val="1"/>
      <color rgb="FF7F6000"/>
      <sz val="9"/>
    </font>
    <font>
      <name val="Arial"/>
      <family val="2"/>
      <color rgb="FFBFBFBF"/>
      <sz val="10"/>
    </font>
    <font>
      <name val="Arial"/>
      <family val="2"/>
      <color rgb="FFC00000"/>
      <sz val="10"/>
    </font>
    <font>
      <name val="Arial"/>
      <family val="2"/>
      <i val="1"/>
      <color rgb="FF0D1B4B"/>
      <sz val="9"/>
    </font>
    <font>
      <name val="Arial"/>
      <family val="2"/>
      <color rgb="FF595959"/>
      <sz val="10"/>
    </font>
    <font>
      <name val="Arial"/>
      <family val="2"/>
      <color rgb="FF000000"/>
      <sz val="10"/>
    </font>
    <font>
      <name val="Arial"/>
      <family val="2"/>
      <color rgb="FF1F4E79"/>
      <sz val="10"/>
    </font>
    <font>
      <name val="Arial"/>
      <family val="2"/>
      <b val="1"/>
      <color rgb="FF0D1B4B"/>
      <sz val="10"/>
    </font>
    <font>
      <name val="Arial"/>
      <family val="2"/>
      <i val="1"/>
      <color rgb="FF475569"/>
      <sz val="9"/>
    </font>
    <font>
      <name val="Arial"/>
      <family val="2"/>
      <b val="1"/>
      <color rgb="FFFFFFFF"/>
      <sz val="9"/>
    </font>
    <font>
      <name val="Arial"/>
      <family val="2"/>
      <color rgb="FF1D6A35"/>
      <sz val="10"/>
    </font>
    <font>
      <name val="Arial"/>
      <family val="2"/>
      <b val="1"/>
      <color rgb="FF7F6000"/>
      <sz val="9"/>
    </font>
    <font>
      <name val="Arial"/>
      <family val="2"/>
      <b val="1"/>
      <color rgb="FFFFFFFF"/>
      <sz val="10"/>
    </font>
    <font>
      <name val="Arial"/>
      <family val="2"/>
      <b val="1"/>
      <color rgb="FFFFFFFF"/>
      <sz val="11"/>
    </font>
    <font>
      <name val="Arial"/>
      <family val="2"/>
      <color rgb="FF000000"/>
      <sz val="9"/>
    </font>
    <font>
      <name val="Arial"/>
      <family val="2"/>
      <b val="1"/>
      <color rgb="FF0D1B4B"/>
      <sz val="9"/>
    </font>
    <font>
      <name val="Arial"/>
      <family val="2"/>
      <b val="1"/>
      <color rgb="FFFF0000"/>
      <sz val="14"/>
    </font>
    <font>
      <name val="Calibri"/>
      <sz val="10"/>
    </font>
    <font>
      <name val="Calibri"/>
      <b val="1"/>
      <color rgb="001F4E79"/>
      <sz val="11"/>
    </font>
    <font>
      <name val="Calibri"/>
      <b val="1"/>
      <color rgb="00FFFFFF"/>
      <sz val="10"/>
    </font>
    <font>
      <name val="Calibri"/>
      <color rgb="000000FF"/>
      <sz val="10"/>
    </font>
    <font>
      <name val="Calibri"/>
      <b val="1"/>
      <sz val="10"/>
    </font>
    <font>
      <name val="Calibri"/>
      <b val="1"/>
      <color rgb="00C00000"/>
      <sz val="10"/>
    </font>
  </fonts>
  <fills count="34">
    <fill>
      <patternFill/>
    </fill>
    <fill>
      <patternFill patternType="gray125"/>
    </fill>
    <fill>
      <patternFill patternType="solid">
        <fgColor rgb="FF0D1B2A"/>
        <bgColor rgb="FF0F2236"/>
      </patternFill>
    </fill>
    <fill>
      <patternFill patternType="solid">
        <fgColor rgb="FFC0392B"/>
        <bgColor rgb="FFC00000"/>
      </patternFill>
    </fill>
    <fill>
      <patternFill patternType="solid">
        <fgColor rgb="FF1C3557"/>
        <bgColor rgb="FF1F3864"/>
      </patternFill>
    </fill>
    <fill>
      <patternFill patternType="solid">
        <fgColor rgb="FFFFFFFF"/>
        <bgColor rgb="FFFFFDE7"/>
      </patternFill>
    </fill>
    <fill>
      <patternFill patternType="solid">
        <fgColor rgb="FF2E4A6A"/>
        <bgColor rgb="FF1F4E79"/>
      </patternFill>
    </fill>
    <fill>
      <patternFill patternType="solid">
        <fgColor rgb="FFF4F6F9"/>
        <bgColor rgb="FFF2F2F2"/>
      </patternFill>
    </fill>
    <fill>
      <patternFill patternType="solid">
        <fgColor rgb="FFFFF9E6"/>
        <bgColor rgb="FFFFFDE7"/>
      </patternFill>
    </fill>
    <fill>
      <patternFill patternType="solid">
        <fgColor rgb="FF0F2236"/>
        <bgColor rgb="FF0D1B2A"/>
      </patternFill>
    </fill>
    <fill>
      <patternFill patternType="solid">
        <fgColor rgb="FFFFF0F0"/>
        <bgColor rgb="FFFFF0E6"/>
      </patternFill>
    </fill>
    <fill>
      <patternFill patternType="solid">
        <fgColor rgb="FFFFF0E6"/>
        <bgColor rgb="FFFFF0F0"/>
      </patternFill>
    </fill>
    <fill>
      <patternFill patternType="solid">
        <fgColor rgb="FFFFFDE7"/>
        <bgColor rgb="FFFFF9E6"/>
      </patternFill>
    </fill>
    <fill>
      <patternFill patternType="solid">
        <fgColor rgb="FFEBF3FB"/>
        <bgColor rgb="FFF2F2F2"/>
      </patternFill>
    </fill>
    <fill>
      <patternFill patternType="solid">
        <fgColor rgb="FFE8F5E9"/>
        <bgColor rgb="FFEBF3FB"/>
      </patternFill>
    </fill>
    <fill>
      <patternFill patternType="solid">
        <fgColor rgb="FF0D1B4B"/>
        <bgColor rgb="FF0F2236"/>
      </patternFill>
    </fill>
    <fill>
      <patternFill patternType="solid">
        <fgColor rgb="FFD9E1F2"/>
        <bgColor rgb="FFD5DCE4"/>
      </patternFill>
    </fill>
    <fill>
      <patternFill patternType="solid">
        <fgColor rgb="FF1F3864"/>
        <bgColor rgb="FF1C3557"/>
      </patternFill>
    </fill>
    <fill>
      <patternFill patternType="solid">
        <fgColor rgb="FFF2F2F2"/>
        <bgColor rgb="FFF4F6F9"/>
      </patternFill>
    </fill>
    <fill>
      <patternFill patternType="solid">
        <fgColor rgb="FFFFF2CC"/>
        <bgColor rgb="FFFFF0E6"/>
      </patternFill>
    </fill>
    <fill>
      <patternFill patternType="solid">
        <fgColor rgb="FFF4F6F9"/>
      </patternFill>
    </fill>
    <fill>
      <patternFill patternType="solid">
        <fgColor rgb="FFD9E1F2"/>
      </patternFill>
    </fill>
    <fill>
      <patternFill patternType="solid">
        <fgColor rgb="FF1F3864"/>
      </patternFill>
    </fill>
    <fill>
      <patternFill patternType="solid">
        <fgColor rgb="FFFFFFFF"/>
      </patternFill>
    </fill>
    <fill>
      <patternFill patternType="solid">
        <fgColor rgb="FFFFF2CC"/>
      </patternFill>
    </fill>
    <fill>
      <patternFill patternType="solid">
        <fgColor rgb="FF1C3557"/>
      </patternFill>
    </fill>
    <fill>
      <patternFill patternType="solid">
        <fgColor rgb="FFFFFDE7"/>
      </patternFill>
    </fill>
    <fill>
      <patternFill patternType="solid">
        <fgColor rgb="FFEBF3FB"/>
      </patternFill>
    </fill>
    <fill>
      <patternFill patternType="solid">
        <fgColor rgb="FFFFF0E6"/>
      </patternFill>
    </fill>
    <fill>
      <patternFill patternType="solid">
        <fgColor rgb="FF0D1B4B"/>
      </patternFill>
    </fill>
    <fill>
      <patternFill patternType="solid">
        <fgColor rgb="FFEFF6FF"/>
      </patternFill>
    </fill>
    <fill>
      <patternFill patternType="solid">
        <fgColor rgb="00D6EAF8"/>
      </patternFill>
    </fill>
    <fill>
      <patternFill patternType="solid">
        <fgColor rgb="001F4E79"/>
      </patternFill>
    </fill>
    <fill>
      <patternFill patternType="solid">
        <fgColor rgb="00FFF2CC"/>
      </patternFill>
    </fill>
  </fills>
  <borders count="28">
    <border>
      <left/>
      <right/>
      <top/>
      <bottom/>
      <diagonal/>
    </border>
    <border>
      <left style="thin">
        <color rgb="FFD5DCE4"/>
      </left>
      <right style="thin">
        <color rgb="FFD5DCE4"/>
      </right>
      <top style="thin">
        <color rgb="FFD5DCE4"/>
      </top>
      <bottom style="thin">
        <color rgb="FFD5DCE4"/>
      </bottom>
      <diagonal/>
    </border>
    <border>
      <left style="medium">
        <color rgb="FFF39C12"/>
      </left>
      <right style="medium">
        <color rgb="FFF39C12"/>
      </right>
      <top style="medium">
        <color rgb="FFF39C12"/>
      </top>
      <bottom style="medium">
        <color rgb="FFF39C12"/>
      </bottom>
      <diagonal/>
    </border>
    <border>
      <left style="medium">
        <color rgb="FFC0392B"/>
      </left>
      <right style="medium">
        <color rgb="FFC0392B"/>
      </right>
      <top style="medium">
        <color rgb="FFC0392B"/>
      </top>
      <bottom style="medium">
        <color rgb="FFC0392B"/>
      </bottom>
      <diagonal/>
    </border>
    <border>
      <left style="thin">
        <color rgb="FFBFBFBF"/>
      </left>
      <right style="thin">
        <color rgb="FFBFBFBF"/>
      </right>
      <top style="thin">
        <color rgb="FFBFBFBF"/>
      </top>
      <bottom style="thin">
        <color rgb="FFBFBFBF"/>
      </bottom>
      <diagonal/>
    </border>
    <border>
      <left/>
      <right/>
      <top style="thin">
        <color rgb="FFD5DCE4"/>
      </top>
      <bottom/>
      <diagonal/>
    </border>
    <border>
      <left/>
      <right style="thin">
        <color rgb="FFD5DCE4"/>
      </right>
      <top style="thin">
        <color rgb="FFD5DCE4"/>
      </top>
      <bottom/>
      <diagonal/>
    </border>
    <border>
      <left/>
      <right style="thin">
        <color rgb="FFD5DCE4"/>
      </right>
      <top style="thin">
        <color rgb="FFD5DCE4"/>
      </top>
      <bottom style="thin">
        <color rgb="FFD5DCE4"/>
      </bottom>
      <diagonal/>
    </border>
    <border>
      <left/>
      <right style="medium">
        <color rgb="FFF39C12"/>
      </right>
      <top style="medium">
        <color rgb="FFF39C12"/>
      </top>
      <bottom style="medium">
        <color rgb="FFF39C12"/>
      </bottom>
      <diagonal/>
    </border>
    <border>
      <left/>
      <right style="medium">
        <color rgb="FFC0392B"/>
      </right>
      <top style="medium">
        <color rgb="FFC0392B"/>
      </top>
      <bottom style="medium">
        <color rgb="FFC0392B"/>
      </bottom>
      <diagonal/>
    </border>
    <border>
      <left/>
      <right/>
      <top style="thin">
        <color rgb="FFD5DCE4"/>
      </top>
      <bottom style="thin">
        <color rgb="FFD5DCE4"/>
      </bottom>
      <diagonal/>
    </border>
    <border>
      <left style="thin">
        <color rgb="FFD5DCE4"/>
      </left>
      <right/>
      <top/>
      <bottom/>
      <diagonal/>
    </border>
    <border>
      <left/>
      <right style="thin">
        <color rgb="FFD5DCE4"/>
      </right>
      <top/>
      <bottom/>
      <diagonal/>
    </border>
    <border>
      <left style="thin">
        <color rgb="FFD5DCE4"/>
      </left>
      <right/>
      <top/>
      <bottom style="thin">
        <color rgb="FFD5DCE4"/>
      </bottom>
      <diagonal/>
    </border>
    <border>
      <left/>
      <right/>
      <top/>
      <bottom style="thin">
        <color rgb="FFD5DCE4"/>
      </bottom>
      <diagonal/>
    </border>
    <border>
      <left/>
      <right style="thin">
        <color rgb="FFD5DCE4"/>
      </right>
      <top/>
      <bottom style="thin">
        <color rgb="FFD5DCE4"/>
      </bottom>
      <diagonal/>
    </border>
    <border>
      <left style="thin">
        <color rgb="FFD0D5DD"/>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
      <left/>
      <right/>
      <top style="medium">
        <color rgb="FFF39C12"/>
      </top>
      <bottom/>
      <diagonal/>
    </border>
    <border>
      <left/>
      <right style="medium">
        <color rgb="FFF39C12"/>
      </right>
      <top style="medium">
        <color rgb="FFF39C12"/>
      </top>
      <bottom/>
      <diagonal/>
    </border>
    <border>
      <left/>
      <right/>
      <top style="medium">
        <color rgb="FFC0392B"/>
      </top>
      <bottom/>
      <diagonal/>
    </border>
    <border>
      <left/>
      <right style="medium">
        <color rgb="FFC0392B"/>
      </right>
      <top style="medium">
        <color rgb="FFC0392B"/>
      </top>
      <bottom/>
      <diagonal/>
    </border>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14">
    <xf numFmtId="0" fontId="0" fillId="0" borderId="0" pivotButton="0" quotePrefix="0" xfId="0"/>
    <xf numFmtId="0" fontId="0" fillId="5" borderId="0" pivotButton="0" quotePrefix="0" xfId="0"/>
    <xf numFmtId="0" fontId="5" fillId="0" borderId="0" applyAlignment="1" pivotButton="0" quotePrefix="0" xfId="0">
      <alignment horizontal="left" vertical="center" wrapText="1"/>
    </xf>
    <xf numFmtId="0" fontId="7" fillId="4" borderId="1" applyAlignment="1" pivotButton="0" quotePrefix="0" xfId="0">
      <alignment horizontal="center" vertical="center" wrapText="1"/>
    </xf>
    <xf numFmtId="0" fontId="8" fillId="7" borderId="1" applyAlignment="1" pivotButton="0" quotePrefix="0" xfId="0">
      <alignment horizontal="left" vertical="center" wrapText="1"/>
    </xf>
    <xf numFmtId="0" fontId="8" fillId="7"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0" fontId="9" fillId="0" borderId="0" pivotButton="0" quotePrefix="0" xfId="0"/>
    <xf numFmtId="164" fontId="13" fillId="7" borderId="1" applyAlignment="1" pivotButton="0" quotePrefix="0" xfId="0">
      <alignment horizontal="right" vertical="center"/>
    </xf>
    <xf numFmtId="164" fontId="13" fillId="5" borderId="1" applyAlignment="1" pivotButton="0" quotePrefix="0" xfId="0">
      <alignment horizontal="right" vertical="center"/>
    </xf>
    <xf numFmtId="0" fontId="14" fillId="7" borderId="1" applyAlignment="1" pivotButton="0" quotePrefix="0" xfId="0">
      <alignment horizontal="right" vertical="center"/>
    </xf>
    <xf numFmtId="0" fontId="14" fillId="5" borderId="1" applyAlignment="1" pivotButton="0" quotePrefix="0" xfId="0">
      <alignment horizontal="right" vertical="center"/>
    </xf>
    <xf numFmtId="0" fontId="6" fillId="5" borderId="1" applyAlignment="1" pivotButton="0" quotePrefix="0" xfId="0">
      <alignment horizontal="right" vertical="center"/>
    </xf>
    <xf numFmtId="0" fontId="6" fillId="7" borderId="1" applyAlignment="1" pivotButton="0" quotePrefix="0" xfId="0">
      <alignment horizontal="right" vertical="center"/>
    </xf>
    <xf numFmtId="0" fontId="17" fillId="5" borderId="1" applyAlignment="1" pivotButton="0" quotePrefix="0" xfId="0">
      <alignment horizontal="right" vertical="center"/>
    </xf>
    <xf numFmtId="0" fontId="17" fillId="7" borderId="1" applyAlignment="1" pivotButton="0" quotePrefix="0" xfId="0">
      <alignment horizontal="right" vertical="center"/>
    </xf>
    <xf numFmtId="164" fontId="8" fillId="7" borderId="1" applyAlignment="1" pivotButton="0" quotePrefix="0" xfId="0">
      <alignment horizontal="right" vertical="center"/>
    </xf>
    <xf numFmtId="164" fontId="8" fillId="5" borderId="1" applyAlignment="1" pivotButton="0" quotePrefix="0" xfId="0">
      <alignment horizontal="right" vertical="center"/>
    </xf>
    <xf numFmtId="165" fontId="13" fillId="7" borderId="1" applyAlignment="1" pivotButton="0" quotePrefix="0" xfId="0">
      <alignment horizontal="right" vertical="center"/>
    </xf>
    <xf numFmtId="165" fontId="13" fillId="5" borderId="1" applyAlignment="1" pivotButton="0" quotePrefix="0" xfId="0">
      <alignment horizontal="right" vertical="center"/>
    </xf>
    <xf numFmtId="0" fontId="21" fillId="4" borderId="1" applyAlignment="1" pivotButton="0" quotePrefix="0" xfId="0">
      <alignment horizontal="center" vertical="center" wrapText="1"/>
    </xf>
    <xf numFmtId="0" fontId="24" fillId="4" borderId="1" applyAlignment="1" pivotButton="0" quotePrefix="0" xfId="0">
      <alignment horizontal="center" vertical="center"/>
    </xf>
    <xf numFmtId="0" fontId="0" fillId="5" borderId="1" pivotButton="0" quotePrefix="0" xfId="0"/>
    <xf numFmtId="0" fontId="0" fillId="7" borderId="1" pivotButton="0" quotePrefix="0" xfId="0"/>
    <xf numFmtId="0" fontId="0" fillId="14" borderId="1" pivotButton="0" quotePrefix="0" xfId="0"/>
    <xf numFmtId="0" fontId="0" fillId="2" borderId="1" pivotButton="0" quotePrefix="0" xfId="0"/>
    <xf numFmtId="0" fontId="21" fillId="2" borderId="1" applyAlignment="1" pivotButton="0" quotePrefix="0" xfId="0">
      <alignment horizontal="center" vertical="center"/>
    </xf>
    <xf numFmtId="0" fontId="40" fillId="5" borderId="1" applyAlignment="1" pivotButton="0" quotePrefix="0" xfId="0">
      <alignment horizontal="center" vertical="center"/>
    </xf>
    <xf numFmtId="0" fontId="40" fillId="7" borderId="1" applyAlignment="1" pivotButton="0" quotePrefix="0" xfId="0">
      <alignment horizontal="center" vertical="center"/>
    </xf>
    <xf numFmtId="0" fontId="0" fillId="8" borderId="1" pivotButton="0" quotePrefix="0" xfId="0"/>
    <xf numFmtId="0" fontId="40" fillId="14" borderId="1" applyAlignment="1" pivotButton="0" quotePrefix="0" xfId="0">
      <alignment horizontal="center" vertical="center"/>
    </xf>
    <xf numFmtId="0" fontId="7" fillId="17" borderId="4" applyAlignment="1" pivotButton="0" quotePrefix="0" xfId="0">
      <alignment horizontal="center" vertical="center" wrapText="1"/>
    </xf>
    <xf numFmtId="0" fontId="45" fillId="5" borderId="4" applyAlignment="1" pivotButton="0" quotePrefix="0" xfId="0">
      <alignment horizontal="left" vertical="center" wrapText="1"/>
    </xf>
    <xf numFmtId="0" fontId="46" fillId="5" borderId="4" applyAlignment="1" pivotButton="0" quotePrefix="0" xfId="0">
      <alignment horizontal="left" vertical="center" wrapText="1"/>
    </xf>
    <xf numFmtId="0" fontId="47" fillId="5" borderId="4" applyAlignment="1" pivotButton="0" quotePrefix="0" xfId="0">
      <alignment horizontal="left" vertical="center" wrapText="1"/>
    </xf>
    <xf numFmtId="0" fontId="9" fillId="5" borderId="4" applyAlignment="1" pivotButton="0" quotePrefix="0" xfId="0">
      <alignment horizontal="left" vertical="center" wrapText="1"/>
    </xf>
    <xf numFmtId="0" fontId="45" fillId="18" borderId="4" applyAlignment="1" pivotButton="0" quotePrefix="0" xfId="0">
      <alignment horizontal="left" vertical="center" wrapText="1"/>
    </xf>
    <xf numFmtId="0" fontId="46" fillId="18" borderId="4" applyAlignment="1" pivotButton="0" quotePrefix="0" xfId="0">
      <alignment horizontal="left" vertical="center" wrapText="1"/>
    </xf>
    <xf numFmtId="0" fontId="47" fillId="18" borderId="4" applyAlignment="1" pivotButton="0" quotePrefix="0" xfId="0">
      <alignment horizontal="left" vertical="center" wrapText="1"/>
    </xf>
    <xf numFmtId="0" fontId="9" fillId="18" borderId="4" applyAlignment="1" pivotButton="0" quotePrefix="0" xfId="0">
      <alignment horizontal="left" vertical="center" wrapText="1"/>
    </xf>
    <xf numFmtId="0" fontId="48" fillId="5" borderId="4" applyAlignment="1" pivotButton="0" quotePrefix="0" xfId="0">
      <alignment horizontal="left" vertical="center" wrapText="1"/>
    </xf>
    <xf numFmtId="0" fontId="48" fillId="18" borderId="4" applyAlignment="1" pivotButton="0" quotePrefix="0" xfId="0">
      <alignment horizontal="left" vertical="center" wrapText="1"/>
    </xf>
    <xf numFmtId="0" fontId="30" fillId="14" borderId="1" applyAlignment="1" pivotButton="0" quotePrefix="0" xfId="0">
      <alignment horizontal="left" vertical="center"/>
    </xf>
    <xf numFmtId="0" fontId="32" fillId="14" borderId="1" applyAlignment="1" pivotButton="0" quotePrefix="0" xfId="0">
      <alignment horizontal="center" vertical="center"/>
    </xf>
    <xf numFmtId="164" fontId="34" fillId="14" borderId="1" applyAlignment="1" pivotButton="0" quotePrefix="0" xfId="0">
      <alignment horizontal="right" vertical="center"/>
    </xf>
    <xf numFmtId="0" fontId="41" fillId="7" borderId="1" applyAlignment="1" pivotButton="0" quotePrefix="0" xfId="0">
      <alignment horizontal="left" vertical="center" wrapText="1"/>
    </xf>
    <xf numFmtId="0" fontId="63" fillId="25" borderId="1" applyAlignment="1" pivotButton="0" quotePrefix="0" xfId="0">
      <alignment horizontal="center" vertical="center"/>
    </xf>
    <xf numFmtId="0" fontId="57" fillId="0" borderId="0" pivotButton="0" quotePrefix="0" xfId="0"/>
    <xf numFmtId="0" fontId="56" fillId="0" borderId="0" pivotButton="0" quotePrefix="0" xfId="0"/>
    <xf numFmtId="0" fontId="60" fillId="22" borderId="17" applyAlignment="1" pivotButton="0" quotePrefix="0" xfId="0">
      <alignment vertical="center" wrapText="1"/>
    </xf>
    <xf numFmtId="0" fontId="65" fillId="23" borderId="17" applyAlignment="1" pivotButton="0" quotePrefix="0" xfId="0">
      <alignment vertical="top" wrapText="1"/>
    </xf>
    <xf numFmtId="0" fontId="66" fillId="23" borderId="17" applyAlignment="1" pivotButton="0" quotePrefix="0" xfId="0">
      <alignment vertical="top" wrapText="1"/>
    </xf>
    <xf numFmtId="0" fontId="65" fillId="20" borderId="17" applyAlignment="1" pivotButton="0" quotePrefix="0" xfId="0">
      <alignment vertical="top" wrapText="1"/>
    </xf>
    <xf numFmtId="0" fontId="66" fillId="20" borderId="17" applyAlignment="1" pivotButton="0" quotePrefix="0" xfId="0">
      <alignment vertical="top" wrapText="1"/>
    </xf>
    <xf numFmtId="0" fontId="58" fillId="21" borderId="0" pivotButton="0" quotePrefix="0" xfId="0"/>
    <xf numFmtId="0" fontId="0" fillId="21" borderId="0" pivotButton="0" quotePrefix="0" xfId="0"/>
    <xf numFmtId="0" fontId="64" fillId="29" borderId="0" pivotButton="0" quotePrefix="0" xfId="0"/>
    <xf numFmtId="0" fontId="0" fillId="0" borderId="0" pivotButton="0" quotePrefix="0" xfId="0"/>
    <xf numFmtId="0" fontId="62" fillId="24" borderId="0" applyAlignment="1" pivotButton="0" quotePrefix="0" xfId="0">
      <alignment vertical="center" wrapText="1"/>
    </xf>
    <xf numFmtId="0" fontId="0" fillId="24" borderId="0" pivotButton="0" quotePrefix="0" xfId="0"/>
    <xf numFmtId="0" fontId="44" fillId="29" borderId="0" applyAlignment="1" pivotButton="0" quotePrefix="0" xfId="0">
      <alignment vertical="center" wrapText="1"/>
    </xf>
    <xf numFmtId="0" fontId="10" fillId="29" borderId="0" pivotButton="0" quotePrefix="0" xfId="0"/>
    <xf numFmtId="0" fontId="59" fillId="30" borderId="0" applyAlignment="1" pivotButton="0" quotePrefix="0" xfId="0">
      <alignment horizontal="left" vertical="top" wrapText="1"/>
    </xf>
    <xf numFmtId="0" fontId="0" fillId="30" borderId="0" applyAlignment="1" pivotButton="0" quotePrefix="0" xfId="0">
      <alignment horizontal="left" vertical="top" wrapText="1"/>
    </xf>
    <xf numFmtId="0" fontId="9" fillId="8" borderId="0" applyAlignment="1" pivotButton="0" quotePrefix="0" xfId="0">
      <alignment horizontal="left" vertical="center" wrapText="1"/>
    </xf>
    <xf numFmtId="0" fontId="6" fillId="0" borderId="0" applyAlignment="1" pivotButton="0" quotePrefix="0" xfId="0">
      <alignment horizontal="left" vertical="center" wrapText="1"/>
    </xf>
    <xf numFmtId="0" fontId="0" fillId="5" borderId="0" pivotButton="0" quotePrefix="0" xfId="0"/>
    <xf numFmtId="0" fontId="58" fillId="5" borderId="0" pivotButton="0" quotePrefix="0" xfId="0"/>
    <xf numFmtId="0" fontId="2" fillId="3" borderId="0" applyAlignment="1" pivotButton="0" quotePrefix="0" xfId="0">
      <alignment horizontal="center" vertical="center"/>
    </xf>
    <xf numFmtId="0" fontId="1" fillId="2" borderId="0" applyAlignment="1" pivotButton="0" quotePrefix="0" xfId="0">
      <alignment horizontal="center" vertical="center"/>
    </xf>
    <xf numFmtId="0" fontId="4" fillId="6" borderId="0" applyAlignment="1" pivotButton="0" quotePrefix="0" xfId="0">
      <alignment horizontal="left" vertical="center" wrapText="1"/>
    </xf>
    <xf numFmtId="0" fontId="3" fillId="4" borderId="0" applyAlignment="1" pivotButton="0" quotePrefix="0" xfId="0">
      <alignment horizontal="center" vertical="center"/>
    </xf>
    <xf numFmtId="0" fontId="10" fillId="2" borderId="0" applyAlignment="1" pivotButton="0" quotePrefix="0" xfId="0">
      <alignment horizontal="center" vertical="center"/>
    </xf>
    <xf numFmtId="0" fontId="12" fillId="4" borderId="0" applyAlignment="1" pivotButton="0" quotePrefix="0" xfId="0">
      <alignment horizontal="center" vertical="center"/>
    </xf>
    <xf numFmtId="0" fontId="15" fillId="9" borderId="0" applyAlignment="1" pivotButton="0" quotePrefix="0" xfId="0">
      <alignment horizontal="left" vertical="center" wrapText="1"/>
    </xf>
    <xf numFmtId="0" fontId="16" fillId="8" borderId="0" applyAlignment="1" pivotButton="0" quotePrefix="0" xfId="0">
      <alignment horizontal="left" vertical="center" wrapText="1"/>
    </xf>
    <xf numFmtId="0" fontId="4" fillId="6" borderId="0" applyAlignment="1" pivotButton="0" quotePrefix="0" xfId="0">
      <alignment horizontal="left" vertical="center"/>
    </xf>
    <xf numFmtId="0" fontId="11" fillId="3" borderId="0" applyAlignment="1" pivotButton="0" quotePrefix="0" xfId="0">
      <alignment horizontal="center" vertical="center"/>
    </xf>
    <xf numFmtId="0" fontId="7" fillId="2" borderId="0" applyAlignment="1" pivotButton="0" quotePrefix="0" xfId="0">
      <alignment horizontal="left" vertical="center"/>
    </xf>
    <xf numFmtId="0" fontId="18" fillId="10" borderId="0" applyAlignment="1" pivotButton="0" quotePrefix="0" xfId="0">
      <alignment horizontal="left" vertical="center" wrapText="1"/>
    </xf>
    <xf numFmtId="0" fontId="25" fillId="7" borderId="1" applyAlignment="1" pivotButton="0" quotePrefix="0" xfId="0">
      <alignment horizontal="left" vertical="center"/>
    </xf>
    <xf numFmtId="0" fontId="0" fillId="0" borderId="10" pivotButton="0" quotePrefix="0" xfId="0"/>
    <xf numFmtId="0" fontId="0" fillId="0" borderId="7" pivotButton="0" quotePrefix="0" xfId="0"/>
    <xf numFmtId="164" fontId="25" fillId="7" borderId="1" applyAlignment="1" pivotButton="0" quotePrefix="0" xfId="0">
      <alignment horizontal="right" vertical="center"/>
    </xf>
    <xf numFmtId="0" fontId="25" fillId="5" borderId="1" applyAlignment="1" pivotButton="0" quotePrefix="0" xfId="0">
      <alignment horizontal="left" vertical="center" wrapText="1"/>
    </xf>
    <xf numFmtId="0" fontId="25" fillId="7" borderId="1" applyAlignment="1" pivotButton="0" quotePrefix="0" xfId="0">
      <alignment horizontal="left" vertical="center" wrapText="1"/>
    </xf>
    <xf numFmtId="164" fontId="25" fillId="5" borderId="1" applyAlignment="1" pivotButton="0" quotePrefix="0" xfId="0">
      <alignment horizontal="right" vertical="center"/>
    </xf>
    <xf numFmtId="0" fontId="21" fillId="2" borderId="1" applyAlignment="1" pivotButton="0" quotePrefix="0" xfId="0">
      <alignment horizontal="left" vertical="center"/>
    </xf>
    <xf numFmtId="0" fontId="0" fillId="2" borderId="1" pivotButton="0" quotePrefix="0" xfId="0"/>
    <xf numFmtId="0" fontId="0" fillId="0" borderId="5"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39" fillId="7" borderId="1" applyAlignment="1" pivotButton="0" quotePrefix="0" xfId="0">
      <alignment horizontal="right" vertical="center"/>
    </xf>
    <xf numFmtId="0" fontId="41" fillId="7" borderId="1" applyAlignment="1" pivotButton="0" quotePrefix="0" xfId="0">
      <alignment horizontal="left" vertical="center" wrapText="1"/>
    </xf>
    <xf numFmtId="164" fontId="30" fillId="14" borderId="1" applyAlignment="1" pivotButton="0" quotePrefix="0" xfId="0">
      <alignment horizontal="right" vertical="center"/>
    </xf>
    <xf numFmtId="0" fontId="36" fillId="3" borderId="0" applyAlignment="1" pivotButton="0" quotePrefix="0" xfId="0">
      <alignment horizontal="center" vertical="center"/>
    </xf>
    <xf numFmtId="0" fontId="21" fillId="2" borderId="1" applyAlignment="1" pivotButton="0" quotePrefix="0" xfId="0">
      <alignment horizontal="center" vertical="center" wrapText="1"/>
    </xf>
    <xf numFmtId="0" fontId="30" fillId="14" borderId="1" applyAlignment="1" pivotButton="0" quotePrefix="0" xfId="0">
      <alignment horizontal="right" vertical="center"/>
    </xf>
    <xf numFmtId="0" fontId="25" fillId="13" borderId="1" applyAlignment="1" pivotButton="0" quotePrefix="0" xfId="0">
      <alignment horizontal="right" vertical="center"/>
    </xf>
    <xf numFmtId="0" fontId="42" fillId="2" borderId="0" applyAlignment="1" pivotButton="0" quotePrefix="0" xfId="0">
      <alignment horizontal="center" vertical="center"/>
    </xf>
    <xf numFmtId="0" fontId="23" fillId="4" borderId="1" applyAlignment="1" pivotButton="0" quotePrefix="0" xfId="0">
      <alignment horizontal="left" vertical="center"/>
    </xf>
    <xf numFmtId="0" fontId="25" fillId="5" borderId="1" applyAlignment="1" pivotButton="0" quotePrefix="0" xfId="0">
      <alignment horizontal="left" vertical="center"/>
    </xf>
    <xf numFmtId="0" fontId="30" fillId="14" borderId="1" applyAlignment="1" pivotButton="0" quotePrefix="0" xfId="0">
      <alignment horizontal="left" vertical="center" wrapText="1"/>
    </xf>
    <xf numFmtId="0" fontId="23" fillId="6" borderId="0" applyAlignment="1" pivotButton="0" quotePrefix="0" xfId="0">
      <alignment horizontal="left" vertical="center"/>
    </xf>
    <xf numFmtId="0" fontId="39" fillId="5" borderId="1" applyAlignment="1" pivotButton="0" quotePrefix="0" xfId="0">
      <alignment horizontal="right" vertical="center"/>
    </xf>
    <xf numFmtId="0" fontId="35" fillId="2" borderId="0" applyAlignment="1" pivotButton="0" quotePrefix="0" xfId="0">
      <alignment horizontal="right" vertical="center"/>
    </xf>
    <xf numFmtId="0" fontId="38" fillId="4" borderId="0" applyAlignment="1" pivotButton="0" quotePrefix="0" xfId="0">
      <alignment horizontal="center" vertical="center"/>
    </xf>
    <xf numFmtId="166" fontId="25" fillId="13" borderId="1" applyAlignment="1" pivotButton="0" quotePrefix="0" xfId="0">
      <alignment horizontal="right" vertical="center"/>
    </xf>
    <xf numFmtId="0" fontId="37" fillId="2" borderId="0" applyAlignment="1" pivotButton="0" quotePrefix="0" xfId="0">
      <alignment horizontal="center" vertical="center"/>
    </xf>
    <xf numFmtId="164" fontId="33" fillId="8" borderId="1" applyAlignment="1" pivotButton="0" quotePrefix="0" xfId="0">
      <alignment horizontal="right" vertical="center"/>
    </xf>
    <xf numFmtId="0" fontId="33" fillId="8" borderId="1" applyAlignment="1" pivotButton="0" quotePrefix="0" xfId="0">
      <alignment horizontal="left" vertical="center"/>
    </xf>
    <xf numFmtId="0" fontId="43" fillId="15" borderId="0" applyAlignment="1" pivotButton="0" quotePrefix="0" xfId="0">
      <alignment horizontal="center" vertical="center" wrapText="1"/>
    </xf>
    <xf numFmtId="0" fontId="45" fillId="16" borderId="0" applyAlignment="1" pivotButton="0" quotePrefix="0" xfId="0">
      <alignment horizontal="left" vertical="center"/>
    </xf>
    <xf numFmtId="0" fontId="51" fillId="19" borderId="0" applyAlignment="1" pivotButton="0" quotePrefix="0" xfId="0">
      <alignment horizontal="left" vertical="center"/>
    </xf>
    <xf numFmtId="0" fontId="44" fillId="15" borderId="0" applyAlignment="1" pivotButton="0" quotePrefix="0" xfId="0">
      <alignment horizontal="center" vertical="center" wrapText="1"/>
    </xf>
    <xf numFmtId="0" fontId="49" fillId="19" borderId="0" applyAlignment="1" pivotButton="0" quotePrefix="0" xfId="0">
      <alignment horizontal="left" vertical="center" wrapText="1"/>
    </xf>
    <xf numFmtId="0" fontId="10" fillId="15" borderId="0" applyAlignment="1" pivotButton="0" quotePrefix="0" xfId="0">
      <alignment horizontal="center" vertical="center" wrapText="1"/>
    </xf>
    <xf numFmtId="0" fontId="50" fillId="13" borderId="0" applyAlignment="1" pivotButton="0" quotePrefix="0" xfId="0">
      <alignment horizontal="left" vertical="center" wrapText="1"/>
    </xf>
    <xf numFmtId="0" fontId="58" fillId="21" borderId="0" applyAlignment="1" pivotButton="0" quotePrefix="0" xfId="0">
      <alignment horizontal="left" vertical="center"/>
    </xf>
    <xf numFmtId="0" fontId="0" fillId="5" borderId="1" pivotButton="0" quotePrefix="0" xfId="0"/>
    <xf numFmtId="0" fontId="26" fillId="12" borderId="2" applyAlignment="1" pivotButton="0" quotePrefix="0" xfId="0">
      <alignment horizontal="left" vertical="center"/>
    </xf>
    <xf numFmtId="0" fontId="0" fillId="0" borderId="8" pivotButton="0" quotePrefix="0" xfId="0"/>
    <xf numFmtId="164" fontId="27" fillId="11" borderId="3" applyAlignment="1" pivotButton="0" quotePrefix="0" xfId="0">
      <alignment horizontal="right" vertical="center"/>
    </xf>
    <xf numFmtId="0" fontId="0" fillId="0" borderId="9" pivotButton="0" quotePrefix="0" xfId="0"/>
    <xf numFmtId="164" fontId="25" fillId="13" borderId="1" applyAlignment="1" pivotButton="0" quotePrefix="0" xfId="0">
      <alignment horizontal="right" vertical="center"/>
    </xf>
    <xf numFmtId="164" fontId="28" fillId="13" borderId="1" applyAlignment="1" pivotButton="0" quotePrefix="0" xfId="0">
      <alignment horizontal="right" vertical="center"/>
    </xf>
    <xf numFmtId="9" fontId="25" fillId="13" borderId="1" applyAlignment="1" pivotButton="0" quotePrefix="0" xfId="0">
      <alignment horizontal="right" vertical="center"/>
    </xf>
    <xf numFmtId="164" fontId="28" fillId="27" borderId="1" applyAlignment="1" pivotButton="0" quotePrefix="0" xfId="0">
      <alignment horizontal="right" vertical="center"/>
    </xf>
    <xf numFmtId="0" fontId="32" fillId="7" borderId="1" applyAlignment="1" pivotButton="0" quotePrefix="0" xfId="0">
      <alignment horizontal="center" vertical="center"/>
    </xf>
    <xf numFmtId="0" fontId="56" fillId="26" borderId="2" applyAlignment="1" pivotButton="0" quotePrefix="0" xfId="0">
      <alignment horizontal="left" vertical="center"/>
    </xf>
    <xf numFmtId="164" fontId="27" fillId="28" borderId="3" applyAlignment="1" pivotButton="0" quotePrefix="0" xfId="0">
      <alignment horizontal="right" vertical="center"/>
    </xf>
    <xf numFmtId="0" fontId="20" fillId="3" borderId="0" applyAlignment="1" pivotButton="0" quotePrefix="0" xfId="0">
      <alignment horizontal="center" vertical="center"/>
    </xf>
    <xf numFmtId="0" fontId="0" fillId="7" borderId="1" pivotButton="0" quotePrefix="0" xfId="0"/>
    <xf numFmtId="9" fontId="27" fillId="11" borderId="3" applyAlignment="1" pivotButton="0" quotePrefix="0" xfId="0">
      <alignment horizontal="right" vertical="center"/>
    </xf>
    <xf numFmtId="0" fontId="22" fillId="11" borderId="0" applyAlignment="1" pivotButton="0" quotePrefix="0" xfId="0">
      <alignment horizontal="left" vertical="center"/>
    </xf>
    <xf numFmtId="0" fontId="21" fillId="4" borderId="0" applyAlignment="1" pivotButton="0" quotePrefix="0" xfId="0">
      <alignment horizontal="center" vertical="center"/>
    </xf>
    <xf numFmtId="164" fontId="25" fillId="27" borderId="1" applyAlignment="1" pivotButton="0" quotePrefix="0" xfId="0">
      <alignment horizontal="right" vertical="center"/>
    </xf>
    <xf numFmtId="0" fontId="31" fillId="10" borderId="0" applyAlignment="1" pivotButton="0" quotePrefix="0" xfId="0">
      <alignment horizontal="center" vertical="center"/>
    </xf>
    <xf numFmtId="0" fontId="29" fillId="13" borderId="1" applyAlignment="1" pivotButton="0" quotePrefix="0" xfId="0">
      <alignment horizontal="right" vertical="center"/>
    </xf>
    <xf numFmtId="0" fontId="56" fillId="20" borderId="1" applyAlignment="1" pivotButton="0" quotePrefix="0" xfId="0">
      <alignment horizontal="left" vertical="center"/>
    </xf>
    <xf numFmtId="164" fontId="34" fillId="14" borderId="1" applyAlignment="1" pivotButton="0" quotePrefix="0" xfId="0">
      <alignment horizontal="right" vertical="center"/>
    </xf>
    <xf numFmtId="9" fontId="28" fillId="13" borderId="1" applyAlignment="1" pivotButton="0" quotePrefix="0" xfId="0">
      <alignment horizontal="right" vertical="center"/>
    </xf>
    <xf numFmtId="0" fontId="29" fillId="7" borderId="1" applyAlignment="1" pivotButton="0" quotePrefix="0" xfId="0">
      <alignment horizontal="left" vertical="center"/>
    </xf>
    <xf numFmtId="0" fontId="30" fillId="14" borderId="1" applyAlignment="1" pivotButton="0" quotePrefix="0" xfId="0">
      <alignment horizontal="left" vertical="center"/>
    </xf>
    <xf numFmtId="0" fontId="32" fillId="14" borderId="1" applyAlignment="1" pivotButton="0" quotePrefix="0" xfId="0">
      <alignment horizontal="center" vertical="center"/>
    </xf>
    <xf numFmtId="0" fontId="19" fillId="2" borderId="0" applyAlignment="1" pivotButton="0" quotePrefix="0" xfId="0">
      <alignment horizontal="center" vertical="center"/>
    </xf>
    <xf numFmtId="0" fontId="22" fillId="10" borderId="1" applyAlignment="1" pivotButton="0" quotePrefix="0" xfId="0">
      <alignment horizontal="center" vertical="center"/>
    </xf>
    <xf numFmtId="0" fontId="0" fillId="14" borderId="1" pivotButton="0" quotePrefix="0" xfId="0"/>
    <xf numFmtId="164" fontId="32" fillId="7" borderId="1" applyAlignment="1" pivotButton="0" quotePrefix="0" xfId="0">
      <alignment horizontal="right" vertical="center"/>
    </xf>
    <xf numFmtId="0" fontId="8" fillId="7" borderId="1" applyAlignment="1" pivotButton="0" quotePrefix="0" xfId="0">
      <alignment horizontal="left" vertical="top"/>
    </xf>
    <xf numFmtId="0" fontId="8" fillId="5" borderId="1" applyAlignment="1" pivotButton="0" quotePrefix="0" xfId="0">
      <alignment horizontal="left" vertical="top"/>
    </xf>
    <xf numFmtId="0" fontId="7" fillId="4" borderId="1" applyAlignment="1" pivotButton="0" quotePrefix="0" xfId="0">
      <alignment horizontal="left" vertical="center" wrapText="1"/>
    </xf>
    <xf numFmtId="164" fontId="13" fillId="7" borderId="1" applyAlignment="1" pivotButton="0" quotePrefix="0" xfId="0">
      <alignment horizontal="left" vertical="center"/>
    </xf>
    <xf numFmtId="164" fontId="13" fillId="5" borderId="1" applyAlignment="1" pivotButton="0" quotePrefix="0" xfId="0">
      <alignment horizontal="left" vertical="center"/>
    </xf>
    <xf numFmtId="0" fontId="8" fillId="7" borderId="1" applyAlignment="1" pivotButton="0" quotePrefix="0" xfId="0">
      <alignment horizontal="left" vertical="center"/>
    </xf>
    <xf numFmtId="0" fontId="8" fillId="5" borderId="1" applyAlignment="1" pivotButton="0" quotePrefix="0" xfId="0">
      <alignment horizontal="left" vertical="center"/>
    </xf>
    <xf numFmtId="0" fontId="0" fillId="0" borderId="0" applyAlignment="1" pivotButton="0" quotePrefix="0" xfId="0">
      <alignment horizontal="left"/>
    </xf>
    <xf numFmtId="0" fontId="43" fillId="15" borderId="0" applyAlignment="1" pivotButton="0" quotePrefix="0" xfId="0">
      <alignment horizontal="center" vertical="center"/>
    </xf>
    <xf numFmtId="0" fontId="0" fillId="0" borderId="0" pivotButton="0" quotePrefix="0" xfId="0"/>
    <xf numFmtId="0" fontId="0" fillId="0" borderId="0" pivotButton="0" quotePrefix="0" xfId="0"/>
    <xf numFmtId="0" fontId="10" fillId="15" borderId="0" applyAlignment="1" pivotButton="0" quotePrefix="0" xfId="0">
      <alignment horizontal="center" vertical="center"/>
    </xf>
    <xf numFmtId="0" fontId="44" fillId="15" borderId="0" applyAlignment="1" pivotButton="0" quotePrefix="0" xfId="0">
      <alignment horizontal="center" vertical="center"/>
    </xf>
    <xf numFmtId="0" fontId="7" fillId="17" borderId="4" applyAlignment="1" pivotButton="0" quotePrefix="0" xfId="0">
      <alignment horizontal="center" vertical="center"/>
    </xf>
    <xf numFmtId="0" fontId="45" fillId="5" borderId="4" applyAlignment="1" pivotButton="0" quotePrefix="0" xfId="0">
      <alignment horizontal="left" vertical="center"/>
    </xf>
    <xf numFmtId="0" fontId="9" fillId="5" borderId="4" applyAlignment="1" pivotButton="0" quotePrefix="0" xfId="0">
      <alignment horizontal="left" vertical="center"/>
    </xf>
    <xf numFmtId="0" fontId="46" fillId="5" borderId="4" applyAlignment="1" pivotButton="0" quotePrefix="0" xfId="0">
      <alignment horizontal="left" vertical="center"/>
    </xf>
    <xf numFmtId="0" fontId="47" fillId="5" borderId="4" applyAlignment="1" pivotButton="0" quotePrefix="0" xfId="0">
      <alignment horizontal="left" vertical="center"/>
    </xf>
    <xf numFmtId="0" fontId="45" fillId="18" borderId="4" applyAlignment="1" pivotButton="0" quotePrefix="0" xfId="0">
      <alignment horizontal="left" vertical="center"/>
    </xf>
    <xf numFmtId="0" fontId="9" fillId="18" borderId="4" applyAlignment="1" pivotButton="0" quotePrefix="0" xfId="0">
      <alignment horizontal="left" vertical="center"/>
    </xf>
    <xf numFmtId="0" fontId="46" fillId="18" borderId="4" applyAlignment="1" pivotButton="0" quotePrefix="0" xfId="0">
      <alignment horizontal="left" vertical="center"/>
    </xf>
    <xf numFmtId="0" fontId="47" fillId="18" borderId="4" applyAlignment="1" pivotButton="0" quotePrefix="0" xfId="0">
      <alignment horizontal="left" vertical="center"/>
    </xf>
    <xf numFmtId="0" fontId="48" fillId="5" borderId="4" applyAlignment="1" pivotButton="0" quotePrefix="0" xfId="0">
      <alignment horizontal="left" vertical="center"/>
    </xf>
    <xf numFmtId="0" fontId="48" fillId="18" borderId="4" applyAlignment="1" pivotButton="0" quotePrefix="0" xfId="0">
      <alignment horizontal="left" vertical="center"/>
    </xf>
    <xf numFmtId="0" fontId="52" fillId="18" borderId="4" applyAlignment="1" pivotButton="0" quotePrefix="0" xfId="0">
      <alignment horizontal="left" vertical="center"/>
    </xf>
    <xf numFmtId="0" fontId="52" fillId="5" borderId="4" applyAlignment="1" pivotButton="0" quotePrefix="0" xfId="0">
      <alignment horizontal="left" vertical="center"/>
    </xf>
    <xf numFmtId="0" fontId="53" fillId="18" borderId="4" applyAlignment="1" pivotButton="0" quotePrefix="0" xfId="0">
      <alignment horizontal="left" vertical="center"/>
    </xf>
    <xf numFmtId="0" fontId="53" fillId="5" borderId="4" applyAlignment="1" pivotButton="0" quotePrefix="0" xfId="0">
      <alignment horizontal="left" vertical="center"/>
    </xf>
    <xf numFmtId="0" fontId="56" fillId="5" borderId="4" applyAlignment="1" pivotButton="0" quotePrefix="0" xfId="0">
      <alignment horizontal="left" vertical="center"/>
    </xf>
    <xf numFmtId="0" fontId="61" fillId="5" borderId="4" applyAlignment="1" pivotButton="0" quotePrefix="0" xfId="0">
      <alignment horizontal="left" vertical="center"/>
    </xf>
    <xf numFmtId="0" fontId="54" fillId="0" borderId="0" applyAlignment="1" pivotButton="0" quotePrefix="0" xfId="0">
      <alignment horizontal="left" vertical="center"/>
    </xf>
    <xf numFmtId="0" fontId="55" fillId="18" borderId="4" applyAlignment="1" pivotButton="0" quotePrefix="0" xfId="0">
      <alignment horizontal="left" vertical="center"/>
    </xf>
    <xf numFmtId="0" fontId="56" fillId="20" borderId="16" applyAlignment="1" pivotButton="0" quotePrefix="0" xfId="0">
      <alignment vertical="center"/>
    </xf>
    <xf numFmtId="0" fontId="57" fillId="20" borderId="16" applyAlignment="1" pivotButton="0" quotePrefix="0" xfId="0">
      <alignment vertical="center"/>
    </xf>
    <xf numFmtId="0" fontId="59" fillId="0" borderId="0" applyAlignment="1" pivotButton="0" quotePrefix="0" xfId="0">
      <alignment vertical="center"/>
    </xf>
    <xf numFmtId="0" fontId="60" fillId="22" borderId="16" applyAlignment="1" pivotButton="0" quotePrefix="0" xfId="0">
      <alignment vertical="center"/>
    </xf>
    <xf numFmtId="0" fontId="56" fillId="23" borderId="16" applyAlignment="1" pivotButton="0" quotePrefix="0" xfId="0">
      <alignment vertical="center"/>
    </xf>
    <xf numFmtId="0" fontId="57" fillId="23" borderId="16" applyAlignment="1" pivotButton="0" quotePrefix="0" xfId="0">
      <alignment vertical="center"/>
    </xf>
    <xf numFmtId="0" fontId="61" fillId="20" borderId="16" applyAlignment="1" pivotButton="0" quotePrefix="0" xfId="0">
      <alignment vertical="center"/>
    </xf>
    <xf numFmtId="0" fontId="61" fillId="23" borderId="16" applyAlignment="1" pivotButton="0" quotePrefix="0" xfId="0">
      <alignment vertical="center"/>
    </xf>
    <xf numFmtId="0" fontId="58" fillId="21" borderId="0" pivotButton="0" quotePrefix="0" xfId="0"/>
    <xf numFmtId="0" fontId="62" fillId="24" borderId="0" applyAlignment="1" pivotButton="0" quotePrefix="0" xfId="0">
      <alignment vertical="center"/>
    </xf>
    <xf numFmtId="0" fontId="69" fillId="31" borderId="0" pivotButton="0" quotePrefix="0" xfId="0"/>
    <xf numFmtId="0" fontId="70" fillId="32" borderId="0" pivotButton="0" quotePrefix="0" xfId="0"/>
    <xf numFmtId="0" fontId="68" fillId="0" borderId="0" pivotButton="0" quotePrefix="0" xfId="0"/>
    <xf numFmtId="0" fontId="71" fillId="0" borderId="0" pivotButton="0" quotePrefix="0" xfId="0"/>
    <xf numFmtId="0" fontId="68" fillId="0" borderId="0" applyAlignment="1" pivotButton="0" quotePrefix="0" xfId="0">
      <alignment vertical="top" wrapText="1"/>
    </xf>
    <xf numFmtId="0" fontId="71" fillId="0" borderId="0" applyAlignment="1" pivotButton="0" quotePrefix="0" xfId="0">
      <alignment vertical="top" wrapText="1"/>
    </xf>
    <xf numFmtId="0" fontId="69" fillId="31" borderId="23" applyAlignment="1" pivotButton="0" quotePrefix="0" xfId="0">
      <alignment vertical="top" wrapText="1"/>
    </xf>
    <xf numFmtId="0" fontId="68" fillId="0" borderId="22" pivotButton="0" quotePrefix="0" xfId="0"/>
    <xf numFmtId="0" fontId="70" fillId="32" borderId="23" applyAlignment="1" pivotButton="0" quotePrefix="0" xfId="0">
      <alignment vertical="top" wrapText="1"/>
    </xf>
    <xf numFmtId="0" fontId="68" fillId="0" borderId="22" applyAlignment="1" pivotButton="0" quotePrefix="0" xfId="0">
      <alignment horizontal="center" vertical="center" wrapText="1"/>
    </xf>
    <xf numFmtId="0" fontId="68" fillId="0" borderId="23" applyAlignment="1" pivotButton="0" quotePrefix="0" xfId="0">
      <alignment vertical="top" wrapText="1"/>
    </xf>
    <xf numFmtId="0" fontId="71" fillId="0" borderId="23" applyAlignment="1" pivotButton="0" quotePrefix="0" xfId="0">
      <alignment vertical="top" wrapText="1"/>
    </xf>
    <xf numFmtId="0" fontId="68" fillId="0" borderId="22" applyAlignment="1" pivotButton="0" quotePrefix="0" xfId="0">
      <alignment horizontal="left" vertical="center" wrapText="1"/>
    </xf>
    <xf numFmtId="0" fontId="68" fillId="33" borderId="23" applyAlignment="1" pivotButton="0" quotePrefix="0" xfId="0">
      <alignment vertical="top" wrapText="1"/>
    </xf>
    <xf numFmtId="0" fontId="0" fillId="0" borderId="26" pivotButton="0" quotePrefix="0" xfId="0"/>
    <xf numFmtId="0" fontId="0" fillId="0" borderId="27" pivotButton="0" quotePrefix="0" xfId="0"/>
    <xf numFmtId="0" fontId="72" fillId="0" borderId="23" applyAlignment="1" pivotButton="0" quotePrefix="0" xfId="0">
      <alignment vertical="top" wrapText="1"/>
    </xf>
    <xf numFmtId="0" fontId="73" fillId="0" borderId="2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9E6"/>
      <rgbColor rgb="FFFF00FF"/>
      <rgbColor rgb="FF00FFFF"/>
      <rgbColor rgb="FF800000"/>
      <rgbColor rgb="FF006400"/>
      <rgbColor rgb="FF0D1B4B"/>
      <rgbColor rgb="FF7D6608"/>
      <rgbColor rgb="FF800080"/>
      <rgbColor rgb="FF1D6A35"/>
      <rgbColor rgb="FFBFBFBF"/>
      <rgbColor rgb="FF5A5A72"/>
      <rgbColor rgb="FFF4F6F9"/>
      <rgbColor rgb="FF595959"/>
      <rgbColor rgb="FFFFFDE7"/>
      <rgbColor rgb="FFE8F5E9"/>
      <rgbColor rgb="FF660066"/>
      <rgbColor rgb="FFFF8080"/>
      <rgbColor rgb="FF1F4E79"/>
      <rgbColor rgb="FFBDD7EE"/>
      <rgbColor rgb="FF0D1B2A"/>
      <rgbColor rgb="FFFF00FF"/>
      <rgbColor rgb="FFFFF0F0"/>
      <rgbColor rgb="FF00FFFF"/>
      <rgbColor rgb="FF800080"/>
      <rgbColor rgb="FF800000"/>
      <rgbColor rgb="FF008080"/>
      <rgbColor rgb="FF0000FF"/>
      <rgbColor rgb="FF00CCFF"/>
      <rgbColor rgb="FFEBF3FB"/>
      <rgbColor rgb="FFF2F2F2"/>
      <rgbColor rgb="FFFFF2CC"/>
      <rgbColor rgb="FFB8C8D8"/>
      <rgbColor rgb="FFFFF0E6"/>
      <rgbColor rgb="FFD9E1F2"/>
      <rgbColor rgb="FFD5DCE4"/>
      <rgbColor rgb="FF3366FF"/>
      <rgbColor rgb="FF33CCCC"/>
      <rgbColor rgb="FF99CC00"/>
      <rgbColor rgb="FFFFCC00"/>
      <rgbColor rgb="FFF39C12"/>
      <rgbColor rgb="FFFF6600"/>
      <rgbColor rgb="FF6B7280"/>
      <rgbColor rgb="FF969696"/>
      <rgbColor rgb="FF1C3557"/>
      <rgbColor rgb="FF339966"/>
      <rgbColor rgb="FF0F2236"/>
      <rgbColor rgb="FF1A1A2E"/>
      <rgbColor rgb="FFC0392B"/>
      <rgbColor rgb="FF7F6000"/>
      <rgbColor rgb="FF2E4A6A"/>
      <rgbColor rgb="FF1F386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NexCort iQ</author>
  </authors>
  <commentList>
    <comment ref="A113" authorId="0" shapeId="0">
      <text>
        <t>List prices from packages/shared/src/billing/addon-catalog.ts (2026-10). iQ Reporting and NG911 Assist ranges are internal until SKUs are published.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40"/>
  <sheetViews>
    <sheetView showGridLines="0" zoomScaleNormal="100" workbookViewId="0">
      <pane ySplit="4" topLeftCell="A5" activePane="bottomLeft" state="frozen"/>
      <selection pane="bottomLeft" activeCell="A39" sqref="A39"/>
    </sheetView>
  </sheetViews>
  <sheetFormatPr baseColWidth="10" defaultColWidth="8.6640625" defaultRowHeight="15"/>
  <cols>
    <col width="55" customWidth="1" style="164" min="1" max="1"/>
    <col width="57.83203125" customWidth="1" style="164" min="2" max="2"/>
    <col width="30" customWidth="1" style="164" min="3" max="5"/>
  </cols>
  <sheetData>
    <row r="1" ht="28" customHeight="1" s="164">
      <c r="A1" s="70" t="inlineStr">
        <is>
          <t>NEXCORT IQ</t>
        </is>
      </c>
    </row>
    <row r="2" ht="17" customHeight="1" s="164">
      <c r="A2" s="69" t="inlineStr">
        <is>
          <t>INTERNAL PRICING GUIDE — CONFIDENTIAL</t>
        </is>
      </c>
    </row>
    <row r="3">
      <c r="A3" s="72" t="inlineStr">
        <is>
          <t>Intelligence at the Speed of Response</t>
        </is>
      </c>
    </row>
    <row r="4">
      <c r="A4" s="67" t="n"/>
    </row>
    <row r="5">
      <c r="A5" s="67" t="n"/>
    </row>
    <row r="6">
      <c r="A6" s="71" t="inlineStr">
        <is>
          <t>HOW TO USE THIS GUIDE</t>
        </is>
      </c>
    </row>
    <row r="7">
      <c r="A7" s="2" t="inlineStr">
        <is>
          <t>Public-facing language:</t>
        </is>
      </c>
      <c r="B7" s="66" t="inlineStr">
        <is>
          <t xml:space="preserve">  "Tailored deployment" · "Custom quote" · "Scaled for agency needs" · "Contact sales"</t>
        </is>
      </c>
    </row>
    <row r="8">
      <c r="A8" s="2" t="inlineStr">
        <is>
          <t>Internal pricing basis:</t>
        </is>
      </c>
      <c r="B8" s="66" t="inlineStr">
        <is>
          <t xml:space="preserve">  Agency size · Dispatcher seats · PSAPs / sites · Call volume · CAD complexity · Security requirements · Add-ons · Support level</t>
        </is>
      </c>
    </row>
    <row r="9">
      <c r="A9" s="2" t="inlineStr">
        <is>
          <t>Color convention:</t>
        </is>
      </c>
      <c r="B9" s="66" t="inlineStr">
        <is>
          <t xml:space="preserve">  Blue text = hardcoded input (editable) · Green text = Included · Grey = Limited · Red = Add-on</t>
        </is>
      </c>
    </row>
    <row r="10">
      <c r="A10" s="2" t="inlineStr">
        <is>
          <t>Discounting:</t>
        </is>
      </c>
      <c r="B10" s="66" t="inlineStr">
        <is>
          <t xml:space="preserve">  See Discounting Rules tab — Sales Director approval required for &gt;15% discount</t>
        </is>
      </c>
    </row>
    <row r="11">
      <c r="A11" s="2" t="inlineStr">
        <is>
          <t>CAD write-back rule:</t>
        </is>
      </c>
      <c r="B11" s="66" t="inlineStr">
        <is>
          <t xml:space="preserve">  Do NOT include full CAD write-back in pilot base pricing — scope separately after discovery</t>
        </is>
      </c>
    </row>
    <row r="12">
      <c r="A12" s="68" t="inlineStr">
        <is>
          <t>Catalog date: October 2026 — aligned to live addon-catalog + RFP 2396IP Venue Security Dept rates (Javits)</t>
        </is>
      </c>
    </row>
    <row r="13">
      <c r="A13" s="71" t="inlineStr">
        <is>
          <t>SHEET INDEX</t>
        </is>
      </c>
    </row>
    <row r="14">
      <c r="A14" s="3" t="inlineStr">
        <is>
          <t>Sheet</t>
        </is>
      </c>
      <c r="B14" s="3" t="inlineStr">
        <is>
          <t>Description</t>
        </is>
      </c>
    </row>
    <row r="15">
      <c r="A15" s="4" t="inlineStr">
        <is>
          <t>1. Essential Plan</t>
        </is>
      </c>
      <c r="B15" s="154" t="inlineStr">
        <is>
          <t>Base subscription, overage, capabilities for small agencies</t>
        </is>
      </c>
    </row>
    <row r="16">
      <c r="A16" s="6" t="inlineStr">
        <is>
          <t>2. Professional Plan</t>
        </is>
      </c>
      <c r="B16" s="155" t="inlineStr">
        <is>
          <t>Growing counties/cities, full feature set, QA included</t>
        </is>
      </c>
    </row>
    <row r="17">
      <c r="A17" s="4" t="inlineStr">
        <is>
          <t>3. Command Plan</t>
        </is>
      </c>
      <c r="B17" s="154" t="inlineStr">
        <is>
          <t>Large agencies, command center, up to 75 seats</t>
        </is>
      </c>
    </row>
    <row r="18">
      <c r="A18" s="6" t="inlineStr">
        <is>
          <t>4. Enterprise &amp; Statewide</t>
        </is>
      </c>
      <c r="B18" s="155" t="inlineStr">
        <is>
          <t>Multi-agency, 50–500+ seats, custom programs</t>
        </is>
      </c>
    </row>
    <row r="19">
      <c r="A19" s="4" t="inlineStr">
        <is>
          <t>5. CAD Integration</t>
        </is>
      </c>
      <c r="B19" s="154" t="inlineStr">
        <is>
          <t>Discovery → coordination → read-only → write-back tiers</t>
        </is>
      </c>
    </row>
    <row r="20">
      <c r="A20" s="6" t="inlineStr">
        <is>
          <t>6. AI &amp; Call Intelligence</t>
        </is>
      </c>
      <c r="B20" s="155" t="inlineStr">
        <is>
          <t>Triage, confidence scoring, summarization, custom tuning</t>
        </is>
      </c>
    </row>
    <row r="21">
      <c r="A21" s="4" t="inlineStr">
        <is>
          <t>7. Transcription &amp; Translation</t>
        </is>
      </c>
      <c r="B21" s="154" t="inlineStr">
        <is>
          <t>Enhanced accuracy, diarization, live translation, language packs</t>
        </is>
      </c>
    </row>
    <row r="22">
      <c r="A22" s="6" t="inlineStr">
        <is>
          <t>8. Caller Media</t>
        </is>
      </c>
      <c r="B22" s="155" t="inlineStr">
        <is>
          <t>SMS, photo upload, video upload, live streaming, redaction</t>
        </is>
      </c>
    </row>
    <row r="23">
      <c r="A23" s="4" t="inlineStr">
        <is>
          <t>9. Supervisor &amp; QA</t>
        </is>
      </c>
      <c r="B23" s="154" t="inlineStr">
        <is>
          <t>Scorecards, coaching, dashboards, QA rubrics</t>
        </is>
      </c>
    </row>
    <row r="24">
      <c r="A24" s="6" t="inlineStr">
        <is>
          <t>10. Incident Command</t>
        </is>
      </c>
      <c r="B24" s="155" t="inlineStr">
        <is>
          <t>War rooms, command dashboards, runbooks, stakeholder pages</t>
        </is>
      </c>
    </row>
    <row r="25">
      <c r="A25" s="4" t="inlineStr">
        <is>
          <t>11. Reliability &amp; Tech Ops</t>
        </is>
      </c>
      <c r="B25" s="154" t="inlineStr">
        <is>
          <t>Monitoring integrations, SLOs, alert correlation, on-call routing</t>
        </is>
      </c>
    </row>
    <row r="26">
      <c r="A26" s="6" t="inlineStr">
        <is>
          <t>12. Onsite Services</t>
        </is>
      </c>
      <c r="B26" s="155" t="inlineStr">
        <is>
          <t>Discovery, installation, go-live, floor support, travel policy</t>
        </is>
      </c>
    </row>
    <row r="27">
      <c r="A27" s="4" t="inlineStr">
        <is>
          <t>13. Training</t>
        </is>
      </c>
      <c r="B27" s="154" t="inlineStr">
        <is>
          <t>Remote &amp; onsite, train-the-trainer, custom materials, refreshers</t>
        </is>
      </c>
    </row>
    <row r="28">
      <c r="A28" s="6" t="inlineStr">
        <is>
          <t>14. Support Packages</t>
        </is>
      </c>
      <c r="B28" s="155" t="inlineStr">
        <is>
          <t>Standard → Priority → Mission-Critical → Dedicated</t>
        </is>
      </c>
    </row>
    <row r="29">
      <c r="A29" s="4" t="inlineStr">
        <is>
          <t>15. Storage &amp; Overages</t>
        </is>
      </c>
      <c r="B29" s="154" t="inlineStr">
        <is>
          <t>Included limits by plan + per-unit overage rates</t>
        </is>
      </c>
    </row>
    <row r="30">
      <c r="A30" s="6" t="inlineStr">
        <is>
          <t>16. Pilot Programs</t>
        </is>
      </c>
      <c r="B30" s="155" t="inlineStr">
        <is>
          <t>Pre-packaged pilot bundles for Small City, County, Command, Enterprise</t>
        </is>
      </c>
    </row>
    <row r="31">
      <c r="A31" s="4" t="inlineStr">
        <is>
          <t>17. Quote Builder</t>
        </is>
      </c>
      <c r="B31" s="154" t="inlineStr">
        <is>
          <t>Pre-built bundles for common agency profiles</t>
        </is>
      </c>
    </row>
    <row r="32">
      <c r="A32" s="6" t="inlineStr">
        <is>
          <t>18. Discounting Rules</t>
        </is>
      </c>
      <c r="B32" s="155" t="inlineStr">
        <is>
          <t>Approval thresholds, discount caps, strategic guidance</t>
        </is>
      </c>
    </row>
    <row r="33">
      <c r="A33" s="67" t="n"/>
    </row>
    <row r="34">
      <c r="A34" s="65" t="inlineStr">
        <is>
          <t>19. RC Campus  —  Per-student annual pricing · $1.40/student/yr · min $15K</t>
        </is>
      </c>
    </row>
    <row r="35">
      <c r="A35" s="8" t="inlineStr">
        <is>
          <t>20. RC Venue  —  Venue &amp; event security · capacity-based annual pricing</t>
        </is>
      </c>
    </row>
    <row r="36">
      <c r="A36" s="8" t="inlineStr">
        <is>
          <t>21. RC Hospital  —  Hospital &amp; healthcare · facility-based annual pricing</t>
        </is>
      </c>
    </row>
    <row r="37">
      <c r="A37" s="8" t="inlineStr">
        <is>
          <t>22. RC Transit  —  Transit &amp; transportation · fleet-based annual pricing</t>
        </is>
      </c>
    </row>
    <row r="38">
      <c r="A38" s="8" t="inlineStr">
        <is>
          <t>23. Verticals Overview  —  All 5 product verticals — side-by-side comparison</t>
        </is>
      </c>
    </row>
    <row r="39">
      <c r="A39" s="8" t="inlineStr">
        <is>
          <t>24. Feature Add-Ons  —  QR &amp; NFC · Agency Share · NexIQ Vision™ · Call Assist · iQ Reporting · Command Intelligence · Vault · RCS · CAD Mesh · NG911 Assist</t>
        </is>
      </c>
    </row>
    <row r="40">
      <c r="A40" s="48" t="inlineStr">
        <is>
          <t>25. Sales Definitions  —  In-depth sales language for every sellable service / SKU</t>
        </is>
      </c>
      <c r="B40" s="49" t="inlineStr">
        <is>
          <t>Pitch, buyer, positioning, and ‘what it is not’ — no prices</t>
        </is>
      </c>
    </row>
  </sheetData>
  <mergeCells count="15">
    <mergeCell ref="A34:E34"/>
    <mergeCell ref="B9:E9"/>
    <mergeCell ref="A4:E4"/>
    <mergeCell ref="B8:E8"/>
    <mergeCell ref="A12:E12"/>
    <mergeCell ref="A2:E2"/>
    <mergeCell ref="A33:E33"/>
    <mergeCell ref="B7:E7"/>
    <mergeCell ref="A1:E1"/>
    <mergeCell ref="A5:E5"/>
    <mergeCell ref="B11:E11"/>
    <mergeCell ref="A13:E13"/>
    <mergeCell ref="A6:E6"/>
    <mergeCell ref="B10:E10"/>
    <mergeCell ref="A3:E3"/>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87"/>
  <sheetViews>
    <sheetView workbookViewId="0">
      <pane ySplit="5" topLeftCell="A83" activePane="bottomLeft" state="frozen"/>
      <selection pane="bottomLeft" activeCell="A87" sqref="A87:H87"/>
    </sheetView>
  </sheetViews>
  <sheetFormatPr baseColWidth="10" defaultColWidth="8.83203125" defaultRowHeight="15"/>
  <cols>
    <col width="9.33203125" customWidth="1" style="164" min="1" max="1"/>
    <col width="11.5" customWidth="1" style="164" min="2" max="2"/>
    <col width="13.83203125" customWidth="1" style="164" min="3" max="3"/>
    <col width="41.83203125" customWidth="1" style="164" min="4" max="4"/>
    <col width="14" customWidth="1" style="164" min="5" max="6"/>
    <col width="14.1640625" customWidth="1" style="164" min="7" max="7"/>
    <col width="10" customWidth="1" style="164" min="8" max="8"/>
  </cols>
  <sheetData>
    <row r="1">
      <c r="A1" s="57" t="inlineStr">
        <is>
          <t>NEXCORT IQ — INTERNAL PRICING GUIDE</t>
        </is>
      </c>
    </row>
    <row r="2" ht="18" customHeight="1" s="164">
      <c r="A2" s="62" t="inlineStr">
        <is>
          <t>SALES DEFINITIONS (Catalog date: October 2026)</t>
        </is>
      </c>
    </row>
    <row r="3" ht="30" customHeight="1" s="164">
      <c r="A3" s="61" t="inlineStr">
        <is>
          <t xml:space="preserve">In-depth sales definitions for every sellable service — how to explain it, who buys it, how to position it, and what it is not. Not a technical design doc. Prices live on the other tabs; this tab is language only. </t>
        </is>
      </c>
    </row>
    <row r="4" ht="26" customHeight="1" s="164">
      <c r="A4" s="63" t="inlineStr">
        <is>
          <t xml:space="preserve">  HOW TO USE: Filter by Category. Use column D on calls and in proposals. Column G prevents overselling. Yellow cells on Quote Builder still hold prices — this tab is words only.</t>
        </is>
      </c>
    </row>
    <row r="5" ht="26" customHeight="1" s="164">
      <c r="A5" s="50" t="inlineStr">
        <is>
          <t>Category</t>
        </is>
      </c>
      <c r="B5" s="50" t="inlineStr">
        <is>
          <t>Service / SKU</t>
        </is>
      </c>
      <c r="C5" s="50" t="inlineStr">
        <is>
          <t>One-Line Pitch</t>
        </is>
      </c>
      <c r="D5" s="50" t="inlineStr">
        <is>
          <t>Sales Definition (in depth)</t>
        </is>
      </c>
      <c r="E5" s="50" t="inlineStr">
        <is>
          <t>Who Buys This</t>
        </is>
      </c>
      <c r="F5" s="50" t="inlineStr">
        <is>
          <t>How to Sell It</t>
        </is>
      </c>
      <c r="G5" s="50" t="inlineStr">
        <is>
          <t>What It Is NOT</t>
        </is>
      </c>
      <c r="H5" s="50" t="inlineStr">
        <is>
          <t>See Sheet</t>
        </is>
      </c>
    </row>
    <row r="6">
      <c r="A6" s="194" t="inlineStr">
        <is>
          <t xml:space="preserve">  BASE PLANS</t>
        </is>
      </c>
    </row>
    <row r="7" ht="156" customHeight="1" s="164">
      <c r="A7" s="51" t="inlineStr">
        <is>
          <t>Base Plans</t>
        </is>
      </c>
      <c r="B7" s="52" t="inlineStr">
        <is>
          <t>NexCort iQ Essential</t>
        </is>
      </c>
      <c r="C7" s="51" t="inlineStr">
        <is>
          <t>AI-assisted intake for small PSAPs without replacing CAD.</t>
        </is>
      </c>
      <c r="D7" s="51" t="inlineStr">
        <is>
          <t>Essential is the low-risk entry plan for small municipalities, single-site PSAPs, and grant-funded pilots (typically up to ~10 dispatcher seats). The agency gets the web and desktop apps, RBAC, core reporting, audit logs, AI-assisted intake, live transcription, and basic call workflows. Full dispatcher console, deep QA, and full multilingual depth stay Limited — those are the Professional upsell. Position Essential as modernization that sits beside their existing CAD and telephony, not a rip-and-replace. Recommended for first-reference customers and 90-day pilots.</t>
        </is>
      </c>
      <c r="E7" s="51" t="inlineStr">
        <is>
          <t>Small city / town PSAPs, pilot sponsors, grant-funded first deployments</t>
        </is>
      </c>
      <c r="F7" s="51" t="inlineStr">
        <is>
          <t>Lead with low commitment and grant fit. Show intake + transcription value in week one. Park CAD write-back and Command suites for later.</t>
        </is>
      </c>
      <c r="G7" s="51" t="inlineStr">
        <is>
          <t>Not a full command platform; not a CAD replacement; not full QA/translation out of the box</t>
        </is>
      </c>
      <c r="H7" s="51" t="inlineStr">
        <is>
          <t>Essential</t>
        </is>
      </c>
    </row>
    <row r="8" ht="156" customHeight="1" s="164">
      <c r="A8" s="53" t="inlineStr">
        <is>
          <t>Base Plans</t>
        </is>
      </c>
      <c r="B8" s="54" t="inlineStr">
        <is>
          <t>NexCort iQ Professional</t>
        </is>
      </c>
      <c r="C8" s="53" t="inlineStr">
        <is>
          <t>Full intelligence layer for growing counties and cities — translation, QA, and analytics included.</t>
        </is>
      </c>
      <c r="D8" s="53" t="inlineStr">
        <is>
          <t>Professional is the standard production plan for growing counties and mid-size cities (typically up to ~25 dispatcher seats). It includes everything in Essential plus the full dispatcher monitoring console, live translation, caller photo/video upload, supervisor QA tools, scorecards, coaching notes, team dashboards, and incident timeline reconstruction. Priority support is included. This is the plan most agencies should land on after a successful Essential pilot. Major incident / war-room / reliability suites remain add-ons or Command upgrades.</t>
        </is>
      </c>
      <c r="E8" s="53" t="inlineStr">
        <is>
          <t>County and city ECC directors, supervisors who want QA + translation without Command complexity</t>
        </is>
      </c>
      <c r="F8" s="53" t="inlineStr">
        <is>
          <t>Sell the jump from Limited → Included: translation, QA, media, and supervisor dashboards. Use pilot results to justify the step-up.</t>
        </is>
      </c>
      <c r="G8" s="53" t="inlineStr">
        <is>
          <t>Not regional command / multi-EOC; not automatic CAD write-back; war rooms still add-on</t>
        </is>
      </c>
      <c r="H8" s="53" t="inlineStr">
        <is>
          <t>Professional</t>
        </is>
      </c>
    </row>
    <row r="9" ht="156" customHeight="1" s="164">
      <c r="A9" s="51" t="inlineStr">
        <is>
          <t>Base Plans</t>
        </is>
      </c>
      <c r="B9" s="52" t="inlineStr">
        <is>
          <t>NexCort iQ Command</t>
        </is>
      </c>
      <c r="C9" s="51" t="inlineStr">
        <is>
          <t>Command and coordination platform for large agencies and major-incident environments.</t>
        </is>
      </c>
      <c r="D9" s="51" t="inlineStr">
        <is>
          <t>Command is for large agencies and regional command environments (typically up to ~75 seats) that need major-incident management, command dashboards, war rooms, runbooks, stakeholder status pages, alert correlation, escalation, on-call routing, and reliability reporting — all included. Use this when the buyer’s pain is coordination across teams and partners during storms, MCI, or large events — not just call-taking. Premium onboarding and dedicated rollout planning are included. Custom CAD connectors and dedicated support engineers remain scoped add-ons.</t>
        </is>
      </c>
      <c r="E9" s="51" t="inlineStr">
        <is>
          <t>Large PSAPs, regional centers, agencies with formal EOC / major-incident programs</t>
        </is>
      </c>
      <c r="F9" s="51" t="inlineStr">
        <is>
          <t>Lead with war rooms, runbooks, and command dashboards. Emphasize coordination value during the last big event they remember.</t>
        </is>
      </c>
      <c r="G9" s="51" t="inlineStr">
        <is>
          <t>Not Enterprise multi-agency statewide; not a free path to CAD mesh or write-back</t>
        </is>
      </c>
      <c r="H9" s="51" t="inlineStr">
        <is>
          <t>Command</t>
        </is>
      </c>
    </row>
    <row r="10" ht="143" customHeight="1" s="164">
      <c r="A10" s="53" t="inlineStr">
        <is>
          <t>Base Plans</t>
        </is>
      </c>
      <c r="B10" s="54" t="inlineStr">
        <is>
          <t>NexCort iQ Enterprise / Statewide</t>
        </is>
      </c>
      <c r="C10" s="53" t="inlineStr">
        <is>
          <t>Custom multi-agency or statewide programs — priced and scoped as a program, not a menu.</t>
        </is>
      </c>
      <c r="D10" s="53" t="inlineStr">
        <is>
          <t>Enterprise covers multi-agency, statewide, or complex multi-site programs (often 50–500+ seats) with custom security reviews, multi-site deployment support, and negotiated commercial terms. Do not quote Enterprise from a simple seat calculator — engage Solutions / Sales Director early. Expect longer discovery, multiple stakeholders (state 911 boards, shared CAD vendors, IT security), and staged rollouts by agency or region.</t>
        </is>
      </c>
      <c r="E10" s="53" t="inlineStr">
        <is>
          <t>State 911 authorities, multi-jurisdiction consortia, large metro consolidations</t>
        </is>
      </c>
      <c r="F10" s="53" t="inlineStr">
        <is>
          <t>Treat as a program sale: discovery workshop → phased SOW → reference architecture. Never discount below Discounting Rules without approval.</t>
        </is>
      </c>
      <c r="G10" s="53" t="inlineStr">
        <is>
          <t>Not a self-serve SKU; not a one-week pilot package</t>
        </is>
      </c>
      <c r="H10" s="53" t="inlineStr">
        <is>
          <t>Enterprise</t>
        </is>
      </c>
    </row>
    <row r="11">
      <c r="A11" s="194" t="inlineStr">
        <is>
          <t xml:space="preserve">  PRODUCT VERTICALS</t>
        </is>
      </c>
    </row>
    <row r="12" ht="156" customHeight="1" s="164">
      <c r="A12" s="51" t="inlineStr">
        <is>
          <t>Product Verticals</t>
        </is>
      </c>
      <c r="B12" s="52" t="inlineStr">
        <is>
          <t>RC Campus</t>
        </is>
      </c>
      <c r="C12" s="51" t="inlineStr">
        <is>
          <t>Campus safety reporting layer — QR/NFC/SMS tips without forcing an app download.</t>
        </is>
      </c>
      <c r="D12" s="51" t="inlineStr">
        <is>
          <t>RC Campus is sold to universities, colleges, and K–12 on a per-enrolled-student annual model (see Campus sheet for rate and minimums). Students and staff report via QR, NFC, or SMS; campus security gets a dedicated console — not the 911 dispatcher workspace. Base includes tip intake, two-way chat, photo/video, incident timeline, basic Clery documentation log, and campus RBAC. Upsell AI summary, advanced Clery, zone QR, NexIQ Vision™, translation, analytics, Agency Share, and SMS location. Position as the missing safety layer between ‘call 911’ and ‘ignore it.’</t>
        </is>
      </c>
      <c r="E12" s="51" t="inlineStr">
        <is>
          <t>Campus safety directors, Clery coordinators, university IT / risk</t>
        </is>
      </c>
      <c r="F12" s="51" t="inlineStr">
        <is>
          <t>Open with ‘no app download’ and Clery documentation. Land with tip adoption; expand into Vision, Clery module, and alerts.</t>
        </is>
      </c>
      <c r="G12" s="51" t="inlineStr">
        <is>
          <t>Not a PSAP CAD console; basic Clery log is not the full Clery Act Compliance Module / legal advice</t>
        </is>
      </c>
      <c r="H12" s="51" t="inlineStr">
        <is>
          <t>RC Campus</t>
        </is>
      </c>
    </row>
    <row r="13" ht="130" customHeight="1" s="164">
      <c r="A13" s="53" t="inlineStr">
        <is>
          <t>Product Verticals</t>
        </is>
      </c>
      <c r="B13" s="54" t="inlineStr">
        <is>
          <t>RC Venue</t>
        </is>
      </c>
      <c r="C13" s="53" t="inlineStr">
        <is>
          <t>Fan-to-security reporting for stadiums, arenas, and events — zone-aware, no app required.</t>
        </is>
      </c>
      <c r="D13" s="53" t="inlineStr">
        <is>
          <t>RC Venue prices by venue capacity tier (annual). Guests report from QR/NFC/SMS tied to section, gate, or zone; venue security and supervisors work an orange-branded venue console. Guest Services is a separate non-emergency console and must never be sold as 911 dispatch. Strong for event operators who already have cameras and access control but lack a guest reporting path into security. Upsell Vision cameras, live video, analytics, translation, and event-day onsite support. Also sell Venue Security Department licensing (named-seat list $2,133/user/yr or site-wide dept package) for convention-center / staff incident reporting — see RC Venue sheet (RFP 2396IP).</t>
        </is>
      </c>
      <c r="E13" s="53" t="inlineStr">
        <is>
          <t>Venue GMs, event security directors, stadium operations</t>
        </is>
      </c>
      <c r="F13" s="53" t="inlineStr">
        <is>
          <t>Demo a section-level tip into the security console. Separate Guest Services from Security in every conversation.</t>
        </is>
      </c>
      <c r="G13" s="53" t="inlineStr">
        <is>
          <t>Not a 911 ECC product; Guest Services console is not emergency dispatch</t>
        </is>
      </c>
      <c r="H13" s="53" t="inlineStr">
        <is>
          <t>RC Venue</t>
        </is>
      </c>
    </row>
    <row r="14" ht="156" customHeight="1" s="164">
      <c r="A14" s="51" t="inlineStr">
        <is>
          <t>Product Verticals</t>
        </is>
      </c>
      <c r="B14" s="52" t="inlineStr">
        <is>
          <t>RC Hospital</t>
        </is>
      </c>
      <c r="C14" s="51" t="inlineStr">
        <is>
          <t>Hospital capacity and pre-alert coordination for EMS–hospital handoffs and MCI readiness.</t>
        </is>
      </c>
      <c r="D14" s="51" t="inlineStr">
        <is>
          <t>RC Hospital is facility/bed-tier annual pricing for hospitals and health systems. Hospital staff update capacity and acknowledge pre-alerts in a hospital portal — they do not sit on the PSAP dispatcher console. Base includes staff/supervisor/admin/coordinator views, pre-alert intake, and timelines. Upsell MCI command, EMS data integration, Agency Share, analytics, and Hospital Routing Module. Sell into EMS coordinators and ED leadership who need faster, cleaner pre-alerts — not into the 911 floor as a replacement console.</t>
        </is>
      </c>
      <c r="E14" s="51" t="inlineStr">
        <is>
          <t>Hospital EMS coordinators, ED leadership, health-system emergency management</t>
        </is>
      </c>
      <c r="F14" s="51" t="inlineStr">
        <is>
          <t>Lead with pre-alert acknowledgment and capacity visibility. Attach MCI module for regional readiness grants.</t>
        </is>
      </c>
      <c r="G14" s="51" t="inlineStr">
        <is>
          <t>Not a CAD; not a PSAP dispatch console; not a full EHR</t>
        </is>
      </c>
      <c r="H14" s="51" t="inlineStr">
        <is>
          <t>RC Hospital</t>
        </is>
      </c>
    </row>
    <row r="15" ht="117" customHeight="1" s="164">
      <c r="A15" s="53" t="inlineStr">
        <is>
          <t>Product Verticals</t>
        </is>
      </c>
      <c r="B15" s="54" t="inlineStr">
        <is>
          <t>RC Transit</t>
        </is>
      </c>
      <c r="C15" s="53" t="inlineStr">
        <is>
          <t>Passenger-to-security reporting for bus and rail systems — vehicle and station aware.</t>
        </is>
      </c>
      <c r="D15" s="53" t="inlineStr">
        <is>
          <t>RC Transit prices by fleet/system tier (annual). Passengers report via QR/NFC/SMS; transit security and supervisors use a transit ops console. Base includes reporting channels, two-way chat, media intake, timelines, and transit RBAC. Upsell Vision cameras, Agency Share, analytics, translation, SMS location, and alerts. Position for transit authorities that need a passenger safety channel without building a mobile app.</t>
        </is>
      </c>
      <c r="E15" s="53" t="inlineStr">
        <is>
          <t>Transit authority security / safety directors, rail and bus ops leadership</t>
        </is>
      </c>
      <c r="F15" s="53" t="inlineStr">
        <is>
          <t>Show a vehicle/station tip landing in the transit console. Bundle SMS location for outdoor stops.</t>
        </is>
      </c>
      <c r="G15" s="53" t="inlineStr">
        <is>
          <t>Not a PSAP CAD; not AVL by itself (sell Map Unit Overlays separately where CAD/AVL exists)</t>
        </is>
      </c>
      <c r="H15" s="53" t="inlineStr">
        <is>
          <t>RC Transit</t>
        </is>
      </c>
    </row>
    <row r="16" ht="156" customHeight="1" s="164">
      <c r="A16" s="51" t="inlineStr">
        <is>
          <t>Product Verticals</t>
        </is>
      </c>
      <c r="B16" s="52" t="inlineStr">
        <is>
          <t>Call Assist (non-emergency product)</t>
        </is>
      </c>
      <c r="C16" s="51" t="inlineStr">
        <is>
          <t>AI-assisted non-emergency call handling that keeps 911 off the non-emergency queue.</t>
        </is>
      </c>
      <c r="D16" s="51" t="inlineStr">
        <is>
          <t>Call Assist is a standalone non-emergency product: greeting flows, classification, callbacks, operator console, and supervisor monitor. Emergency 911 is never in scope — the Safety Engine transfers immediately and that path cannot be suppressed. Users land on /app/call-assist/* — never the 911 dispatcher workspace. Sell to agencies drowning in non-emergency volume who want AI help without putting automation on the 911 console. Module list price is the starting point; CAD push, RMS drafts, TTY, and external routing are optional expansions. Never free.</t>
        </is>
      </c>
      <c r="E16" s="51" t="inlineStr">
        <is>
          <t>ECC directors, non-emergency call center managers, city service line operators</t>
        </is>
      </c>
      <c r="F16" s="51" t="inlineStr">
        <is>
          <t>Quantify non-emergency volume first. Promise containment and warm transfer — never ‘AI answers 911.’</t>
        </is>
      </c>
      <c r="G16" s="51" t="inlineStr">
        <is>
          <t>Not a 911 dispatcher console; not an unsupervised bot on emergency lines; CAD/RMS push stays human-reviewed</t>
        </is>
      </c>
      <c r="H16" s="51" t="inlineStr">
        <is>
          <t>Feature Add-Ons</t>
        </is>
      </c>
    </row>
    <row r="17">
      <c r="A17" s="194" t="inlineStr">
        <is>
          <t xml:space="preserve">  CAD INTEGRATION</t>
        </is>
      </c>
    </row>
    <row r="18" ht="117" customHeight="1" s="164">
      <c r="A18" s="53" t="inlineStr">
        <is>
          <t>CAD Integration</t>
        </is>
      </c>
      <c r="B18" s="54" t="inlineStr">
        <is>
          <t>CAD Discovery Workshop</t>
        </is>
      </c>
      <c r="C18" s="53" t="inlineStr">
        <is>
          <t>Paid discovery that decides what CAD integration is actually possible.</t>
        </is>
      </c>
      <c r="D18" s="53" t="inlineStr">
        <is>
          <t>A structured workshop with PSAP, IT, and CAD vendor stakeholders to map fields, environments, nature codes, and write-back risk. Sell this before promising any CAD connectivity. Basic / Standard / Advanced tiers exist by complexity. Output should be a field-mapping understanding and a clear go/no-go on read-only vs write-back. Always remind buyers: NexCort iQ enhances CAD — it does not replace it.</t>
        </is>
      </c>
      <c r="E18" s="53" t="inlineStr">
        <is>
          <t>Agency IT, CAD admins, ECC leadership</t>
        </is>
      </c>
      <c r="F18" s="53" t="inlineStr">
        <is>
          <t>Make discovery a required gate before any integration quote. Use it to protect the deal from over-promising.</t>
        </is>
      </c>
      <c r="G18" s="53" t="inlineStr">
        <is>
          <t>Not the integration itself; not permission to enable write-back</t>
        </is>
      </c>
      <c r="H18" s="53" t="inlineStr">
        <is>
          <t>CAD Integration</t>
        </is>
      </c>
    </row>
    <row r="19" ht="91" customHeight="1" s="164">
      <c r="A19" s="51" t="inlineStr">
        <is>
          <t>CAD Integration</t>
        </is>
      </c>
      <c r="B19" s="52" t="inlineStr">
        <is>
          <t>CAD Read-Only Integration</t>
        </is>
      </c>
      <c r="C19" s="51" t="inlineStr">
        <is>
          <t>One-way CAD context into NexCort — zero risk to the system of record.</t>
        </is>
      </c>
      <c r="D19" s="51" t="inlineStr">
        <is>
          <t>Pulls CAD incident/unit context into the NexCort workspace so dispatchers see structured CAD data while they work. No write path into CAD. This is the default first integration for every PSAP. Complexity tiers (Simple → Advanced) drive one-time fees. Annual maintenance is typically 15–20% of the integration fee, billed separately.</t>
        </is>
      </c>
      <c r="E19" s="51" t="inlineStr">
        <is>
          <t>Agency IT + ECC ops who want intelligence without CAD risk</t>
        </is>
      </c>
      <c r="F19" s="51" t="inlineStr">
        <is>
          <t>Position as the safe first step. Prove Context Cards / unit awareness before discussing write-back.</t>
        </is>
      </c>
      <c r="G19" s="51" t="inlineStr">
        <is>
          <t>Not write-back; not multi-CAD mesh; not AVL overlays by itself</t>
        </is>
      </c>
      <c r="H19" s="51" t="inlineStr">
        <is>
          <t>CAD Integration</t>
        </is>
      </c>
    </row>
    <row r="20" ht="117" customHeight="1" s="164">
      <c r="A20" s="53" t="inlineStr">
        <is>
          <t>CAD Integration</t>
        </is>
      </c>
      <c r="B20" s="54" t="inlineStr">
        <is>
          <t>CAD Assisted / Automated Write-Back</t>
        </is>
      </c>
      <c r="C20" s="53" t="inlineStr">
        <is>
          <t>Human-reviewed (or tightly gated automated) posting into CAD — never in pilot base.</t>
        </is>
      </c>
      <c r="D20" s="53" t="inlineStr">
        <is>
          <t>Assisted write-back lets a dispatcher/supervisor submit proposed CAD updates that require human approve/reject with attestation. Automated write-back is rare, agency-explicit, and still fail-closed at every layer. Requires signed CAD write-back addendum and completed discovery. Complexity tiers set one-time fees. RULE FOR EVERY REP: do not include full CAD write-back in pilot base pricing — scope separately after discovery.</t>
        </is>
      </c>
      <c r="E20" s="53" t="inlineStr">
        <is>
          <t>Mature PSAPs with IT sponsorship and vendor cooperation</t>
        </is>
      </c>
      <c r="F20" s="53" t="inlineStr">
        <is>
          <t>Sell only after read-only success. Emphasize human review and fail-closed design to CAD vendors and CJIS stakeholders.</t>
        </is>
      </c>
      <c r="G20" s="53" t="inlineStr">
        <is>
          <t>Not silent automation by default; not included in pilots; not a substitute for CAD training</t>
        </is>
      </c>
      <c r="H20" s="53" t="inlineStr">
        <is>
          <t>CAD Integration</t>
        </is>
      </c>
    </row>
    <row r="21" ht="117" customHeight="1" s="164">
      <c r="A21" s="51" t="inlineStr">
        <is>
          <t>CAD Integration</t>
        </is>
      </c>
      <c r="B21" s="52" t="inlineStr">
        <is>
          <t>Multi-CAD Connector / CAD-to-CAD Mesh</t>
        </is>
      </c>
      <c r="C21" s="51" t="inlineStr">
        <is>
          <t>Regional multi-CAD awareness for mutual aid — high trust, never free.</t>
        </is>
      </c>
      <c r="D21" s="51" t="inlineStr">
        <is>
          <t>Connects multiple CAD systems under one tenant and/or enables controlled CAD-to-CAD mesh awareness across mutual-aid partners. This is a Command+-class commercial SKU and a high-complexity delivery. Never offer complimentary. Expect dual-admin consent patterns similar to Agency Share, careful scoping, and longer timelines. Additional CAD vendor connectors are separate one-time fees.</t>
        </is>
      </c>
      <c r="E21" s="51" t="inlineStr">
        <is>
          <t>Regional centers, mutual-aid heavy counties, multi-CAD enterprises</t>
        </is>
      </c>
      <c r="F21" s="51" t="inlineStr">
        <is>
          <t>Sell into regional readiness and mutual-aid conversations — not single-agency pilots.</t>
        </is>
      </c>
      <c r="G21" s="51" t="inlineStr">
        <is>
          <t>Not free; not a weekend install; not automatic write-back across agencies</t>
        </is>
      </c>
      <c r="H21" s="51" t="inlineStr">
        <is>
          <t>Feature Add-Ons / CAD Integration</t>
        </is>
      </c>
    </row>
    <row r="22" ht="78" customHeight="1" s="164">
      <c r="A22" s="53" t="inlineStr">
        <is>
          <t>CAD Integration</t>
        </is>
      </c>
      <c r="B22" s="54" t="inlineStr">
        <is>
          <t>Map Unit Overlays (AVL)</t>
        </is>
      </c>
      <c r="C22" s="53" t="inlineStr">
        <is>
          <t>See units on the map with status and ETA from the CAD/AVL feed.</t>
        </is>
      </c>
      <c r="D22" s="53" t="inlineStr">
        <is>
          <t>Shows real-time apparatus markers on operational maps using the agency’s CAD/AVL feed — unit status, distance, ETA. Command+ monthly add-on. Soft-fails cleanly when the feed is unavailable so the rest of the console still works. Strong visual sell in demos; confirm AVL feed access in discovery.</t>
        </is>
      </c>
      <c r="E22" s="53" t="inlineStr">
        <is>
          <t>Dispatchers and supervisors who already have AVL in CAD</t>
        </is>
      </c>
      <c r="F22" s="53" t="inlineStr">
        <is>
          <t>Demo during a live or replayed call with unit motion. Confirm feed availability before quoting.</t>
        </is>
      </c>
      <c r="G22" s="53" t="inlineStr">
        <is>
          <t>Not a standalone AVL system; not GPS tracking invented by NexCort</t>
        </is>
      </c>
      <c r="H22" s="53" t="inlineStr">
        <is>
          <t>Feature Add-Ons / CAD Integration</t>
        </is>
      </c>
    </row>
    <row r="23" ht="104" customHeight="1" s="164">
      <c r="A23" s="51" t="inlineStr">
        <is>
          <t>CAD Integration</t>
        </is>
      </c>
      <c r="B23" s="52" t="inlineStr">
        <is>
          <t>NG911 Assist</t>
        </is>
      </c>
      <c r="C23" s="51" t="inlineStr">
        <is>
          <t>Helps i3-aware PSAPs with diversion, EIDO/additional data, and NG911 metrics — not a phone system replace.</t>
        </is>
      </c>
      <c r="D23" s="51" t="inlineStr">
        <is>
          <t>Assist pack for agencies mid-NG911 / i3 upgrade: diversion support, EIDO/additional data assist, and NG911 metrics. There is no single list SKU in the billing catalog yet — quote after ESInet/i3 discovery using the internal range on Feature Add-Ons. Position as meeting them where their NG911 program is. Do not promise telephony rip-and-replace or ESInet replacement.</t>
        </is>
      </c>
      <c r="E23" s="51" t="inlineStr">
        <is>
          <t>PSAP directors and IT leads in active NG911 programs</t>
        </is>
      </c>
      <c r="F23" s="51" t="inlineStr">
        <is>
          <t>Ask about ESInet vendor and i3 readiness first. Scope a discovery-led quote — don’t invent a fixed SKU on the call.</t>
        </is>
      </c>
      <c r="G23" s="51" t="inlineStr">
        <is>
          <t>Not a CPE/telephony replacement; not automatic NG911 certification</t>
        </is>
      </c>
      <c r="H23" s="51" t="inlineStr">
        <is>
          <t>Feature Add-Ons</t>
        </is>
      </c>
    </row>
    <row r="24">
      <c r="A24" s="194" t="inlineStr">
        <is>
          <t xml:space="preserve">  VISION &amp; CAMERAS</t>
        </is>
      </c>
    </row>
    <row r="25" ht="156" customHeight="1" s="164">
      <c r="A25" s="53" t="inlineStr">
        <is>
          <t>Vision &amp; Cameras</t>
        </is>
      </c>
      <c r="B25" s="54" t="inlineStr">
        <is>
          <t>NexIQ Vision™ — Standard / Professional / Enterprise</t>
        </is>
      </c>
      <c r="C25" s="53" t="inlineStr">
        <is>
          <t>Agency cameras on the live incident — with AI scene assist for authorized roles.</t>
        </is>
      </c>
      <c r="D25" s="53" t="inlineStr">
        <is>
          <t>NexIQ Vision™ (formerly NexCort iQ Connect) links existing ONVIF/RTSP facility cameras into the incident console so responders and dispatch/security see the scene without leaving the workflow. Tiers: Standard (up to 10 cameras), Professional (up to 50), Enterprise (unlimited / multi-site KVS). Includes pathing for AI scene observations and vision transcripts for authorized roles — always human-in-the-loop, never autonomous enforcement or facial-recognition promises unless product docs explicitly support them. Never free.</t>
        </is>
      </c>
      <c r="E25" s="53" t="inlineStr">
        <is>
          <t>PSAP supervisors, campus/venue/transit security leaders with camera estates</t>
        </is>
      </c>
      <c r="F25" s="53" t="inlineStr">
        <is>
          <t>Ask how many cameras and which zones matter on day one. Start Standard; expand by camera count.</t>
        </is>
      </c>
      <c r="G25" s="53" t="inlineStr">
        <is>
          <t>Not a VMS replacement; not autonomous policing; not free ‘camera access’</t>
        </is>
      </c>
      <c r="H25" s="53" t="inlineStr">
        <is>
          <t>Feature Add-Ons</t>
        </is>
      </c>
    </row>
    <row r="26" ht="104" customHeight="1" s="164">
      <c r="A26" s="51" t="inlineStr">
        <is>
          <t>Vision &amp; Cameras</t>
        </is>
      </c>
      <c r="B26" s="52" t="inlineStr">
        <is>
          <t>Citizen Camera Share (Ring / Nest / Wyze)</t>
        </is>
      </c>
      <c r="C26" s="51" t="inlineStr">
        <is>
          <t>Caller or resident grants a time-limited live camera view into the incident.</t>
        </is>
      </c>
      <c r="D26" s="51" t="inlineStr">
        <is>
          <t>Consent-based, time-limited share from citizen cameras (Ring live; Nest/Wyze share paths) into the incident workspace. Strong for residential 911 and campus residential life. Privacy language matters: temporary share with consent — not permanent surveillance takeover. Pair with NexIQ Vision™ agency cameras for a complete ‘see the scene’ story.</t>
        </is>
      </c>
      <c r="E26" s="51" t="inlineStr">
        <is>
          <t>Residential-heavy PSAPs, campus safety, community policing programs</t>
        </is>
      </c>
      <c r="F26" s="51" t="inlineStr">
        <is>
          <t>Lead with consent and time limits. Demo the one-tap share from SMS where available.</t>
        </is>
      </c>
      <c r="G26" s="51" t="inlineStr">
        <is>
          <t>Not permanent camera takeover; not a Ring reseller contract by itself</t>
        </is>
      </c>
      <c r="H26" s="51" t="inlineStr">
        <is>
          <t>Feature Add-Ons</t>
        </is>
      </c>
    </row>
    <row r="27" ht="78" customHeight="1" s="164">
      <c r="A27" s="53" t="inlineStr">
        <is>
          <t>Vision &amp; Cameras</t>
        </is>
      </c>
      <c r="B27" s="54" t="inlineStr">
        <is>
          <t>Camera Integration Setup (one-time)</t>
        </is>
      </c>
      <c r="C27" s="53" t="inlineStr">
        <is>
          <t>Paid setup to bridge cameras correctly the first time.</t>
        </is>
      </c>
      <c r="D27" s="53" t="inlineStr">
        <is>
          <t>One-time professional services to configure RTSP/ONVIF bridges, zones, and provider connections per camera provider. Quote per provider when the estate is complex. Prevents ‘cameras don’t show up on go-live’ failures that kill executive confidence.</t>
        </is>
      </c>
      <c r="E27" s="53" t="inlineStr">
        <is>
          <t>Agency IT / physical security teams</t>
        </is>
      </c>
      <c r="F27" s="53" t="inlineStr">
        <is>
          <t>Always attach setup when selling Vision Professional/Enterprise or multi-provider estates.</t>
        </is>
      </c>
      <c r="G27" s="53" t="inlineStr">
        <is>
          <t>Not the monthly Vision subscription</t>
        </is>
      </c>
      <c r="H27" s="53" t="inlineStr">
        <is>
          <t>Feature Add-Ons</t>
        </is>
      </c>
    </row>
    <row r="28">
      <c r="A28" s="194" t="inlineStr">
        <is>
          <t xml:space="preserve">  INTELLIGENCE &amp; ANALYTICS</t>
        </is>
      </c>
    </row>
    <row r="29" ht="156" customHeight="1" s="164">
      <c r="A29" s="51" t="inlineStr">
        <is>
          <t>Intelligence &amp; Analytics</t>
        </is>
      </c>
      <c r="B29" s="52" t="inlineStr">
        <is>
          <t>iQ Reporting</t>
        </is>
      </c>
      <c r="C29" s="51" t="inlineStr">
        <is>
          <t>Daily agency analytics for leaders — never on the dispatcher console.</t>
        </is>
      </c>
      <c r="D29" s="51" t="inlineStr">
        <is>
          <t>iQ Reporting is the supervisor/agency-admin analytics surface across verticals (911, campus, venue, transit, hospital). It answers ‘what happened yesterday/this week’ with daily aggregated metrics — not a live dispatcher tool. RBAC blocks dispatcher and front-line roles. On Professional/Command it is included; on Essential sell it as an add-on aligned to the Command Intelligence list band until a dedicated SKU ships. Use it to win supervisors and agency admins who need accountability reporting for leadership and grants.</t>
        </is>
      </c>
      <c r="E29" s="51" t="inlineStr">
        <is>
          <t>Supervisors, agency admins, campus/venue/transit admins — never front-line dispatchers</t>
        </is>
      </c>
      <c r="F29" s="51" t="inlineStr">
        <is>
          <t>Show a supervisor-only dashboard. Stress that dispatchers are not distracted by reporting UI.</t>
        </is>
      </c>
      <c r="G29" s="51" t="inlineStr">
        <is>
          <t>Not a dispatcher widget; not real-time CAD BI; not public open-data publishing</t>
        </is>
      </c>
      <c r="H29" s="51" t="inlineStr">
        <is>
          <t>Feature Add-Ons</t>
        </is>
      </c>
    </row>
    <row r="30" ht="117" customHeight="1" s="164">
      <c r="A30" s="53" t="inlineStr">
        <is>
          <t>Intelligence &amp; Analytics</t>
        </is>
      </c>
      <c r="B30" s="54" t="inlineStr">
        <is>
          <t>Command Intelligence</t>
        </is>
      </c>
      <c r="C30" s="53" t="inlineStr">
        <is>
          <t>Comms-ops intelligence for supervisors — different from the Incident Command Dashboard.</t>
        </is>
      </c>
      <c r="D30" s="53" t="inlineStr">
        <is>
          <t>Command Intelligence is a Professional+ communications operations module: call volume, Call Assist containment, translation breakdown, repeat locations, and drill-downs for supervisors and command staff. It is not the same product as Incident Command Dashboard / war rooms. Sell to leaders who want operational intelligence about how the communications center is performing — especially where Call Assist or translation is in play.</t>
        </is>
      </c>
      <c r="E30" s="53" t="inlineStr">
        <is>
          <t>Supervisors, communications managers, command staff</t>
        </is>
      </c>
      <c r="F30" s="53" t="inlineStr">
        <is>
          <t>Clarify naming early: ‘Command Intelligence’ ≠ ‘Incident Command.’ Bring containment and repeat-location stories.</t>
        </is>
      </c>
      <c r="G30" s="53" t="inlineStr">
        <is>
          <t>Not war rooms / major incident boards; not iQ Reporting’s daily vertical pack (related but distinct)</t>
        </is>
      </c>
      <c r="H30" s="53" t="inlineStr">
        <is>
          <t>Feature Add-Ons</t>
        </is>
      </c>
    </row>
    <row r="31" ht="91" customHeight="1" s="164">
      <c r="A31" s="51" t="inlineStr">
        <is>
          <t>Intelligence &amp; Analytics</t>
        </is>
      </c>
      <c r="B31" s="52" t="inlineStr">
        <is>
          <t>Incident Context Cards</t>
        </is>
      </c>
      <c r="C31" s="51" t="inlineStr">
        <is>
          <t>Prior-call and officer-safety context on the live call — included in every plan.</t>
        </is>
      </c>
      <c r="D31" s="51" t="inlineStr">
        <is>
          <t>Read-only cards during live 911/ops calls showing prior calls at the location, officer-safety flags, and labeled CAD/Vault sources. Included in all plans at $0 list — use it as a universal value proof in every demo. Explicitly does not include JMS or criminal-history data. When Vault is purchased, Context Cards get richer historical location intelligence.</t>
        </is>
      </c>
      <c r="E31" s="51" t="inlineStr">
        <is>
          <t>Every dispatcher and supervisor on any plan</t>
        </is>
      </c>
      <c r="F31" s="51" t="inlineStr">
        <is>
          <t>Open demos with a Context Card on a repeat address. Upsell Vault when they ask for ‘all-time’ history.</t>
        </is>
      </c>
      <c r="G31" s="51" t="inlineStr">
        <is>
          <t>Not NCIC/JMS; not criminal history; not a paid upsell by itself</t>
        </is>
      </c>
      <c r="H31" s="51" t="inlineStr">
        <is>
          <t>Feature Add-Ons</t>
        </is>
      </c>
    </row>
    <row r="32" ht="104" customHeight="1" s="164">
      <c r="A32" s="53" t="inlineStr">
        <is>
          <t>Intelligence &amp; Analytics</t>
        </is>
      </c>
      <c r="B32" s="54" t="inlineStr">
        <is>
          <t>NexiQ Vault</t>
        </is>
      </c>
      <c r="C32" s="53" t="inlineStr">
        <is>
          <t>Historical CAD/call archive that makes Context Cards smarter after migrations.</t>
        </is>
      </c>
      <c r="D32" s="53" t="inlineStr">
        <is>
          <t>Read-only archive of prior CAD/call-record exports for agencies migrating systems or needing deeper location history. Search by address and enrich Context Cards with all-time intelligence. Command+ monthly add-on. No JMS or criminal-history data. Sell when the agency is mid-CAD migration or complains that ‘we lose history every time we change CAD.’</t>
        </is>
      </c>
      <c r="E32" s="53" t="inlineStr">
        <is>
          <t>Agency admins, supervisors, analysts on Command+ journeys</t>
        </is>
      </c>
      <c r="F32" s="53" t="inlineStr">
        <is>
          <t>Attach to CAD migration deals and Context Card demos. Emphasize read-only and no criminal databases.</t>
        </is>
      </c>
      <c r="G32" s="53" t="inlineStr">
        <is>
          <t>Not a RMS/JMS; not criminal history; not free</t>
        </is>
      </c>
      <c r="H32" s="53" t="inlineStr">
        <is>
          <t>Feature Add-Ons</t>
        </is>
      </c>
    </row>
    <row r="33">
      <c r="A33" s="194" t="inlineStr">
        <is>
          <t xml:space="preserve">  CONTINUITY &amp; COMMAND</t>
        </is>
      </c>
    </row>
    <row r="34" ht="104" customHeight="1" s="164">
      <c r="A34" s="51" t="inlineStr">
        <is>
          <t>Continuity &amp; Command</t>
        </is>
      </c>
      <c r="B34" s="52" t="inlineStr">
        <is>
          <t>Response Continuity System (RCS)</t>
        </is>
      </c>
      <c r="C34" s="51" t="inlineStr">
        <is>
          <t>Keeps life-safety calls from falling through silent gaps — monitor, geofence arrival, closure gate.</t>
        </is>
      </c>
      <c r="D34" s="51" t="inlineStr">
        <is>
          <t>RCS is a Professional+ life-safety persistence module: silent monitor queue, unit geofence arrival confirmation, audio sentinel, escalation paths, and a closure gate with supervisor-override audit. Sell to agencies worried about calls that go quiet, units that never confirm arrival, or closures without accountability. This is an operations-confidence sale, not a shiny AI demo.</t>
        </is>
      </c>
      <c r="E34" s="51" t="inlineStr">
        <is>
          <t>PSAP supervisors and quality/ops leaders with life-safety accountability pressure</t>
        </is>
      </c>
      <c r="F34" s="51" t="inlineStr">
        <is>
          <t>Tell the story of a quiet line / unconfirmed arrival. Walk the closure-gate audit path with supervisors.</t>
        </is>
      </c>
      <c r="G34" s="51" t="inlineStr">
        <is>
          <t>Not silent illegal wiretaps; not a replacement for unit status in CAD</t>
        </is>
      </c>
      <c r="H34" s="51" t="inlineStr">
        <is>
          <t>Feature Add-Ons</t>
        </is>
      </c>
    </row>
    <row r="35" ht="91" customHeight="1" s="164">
      <c r="A35" s="53" t="inlineStr">
        <is>
          <t>Continuity &amp; Command</t>
        </is>
      </c>
      <c r="B35" s="54" t="inlineStr">
        <is>
          <t>Mutual Aid &amp; MCI Command</t>
        </is>
      </c>
      <c r="C35" s="53" t="inlineStr">
        <is>
          <t>When the incident spans agencies, command still has one coordinated playbook.</t>
        </is>
      </c>
      <c r="D35" s="53" t="inlineStr">
        <is>
          <t>Command tooling for mutual-aid activation and multi-casualty coordination across PSAP and hospital participants. Complements war rooms and hospital capacity/routing. Sell into regional readiness and grant-funded MCI modernization. Confirm which agencies and roles are in scope before promising a joint go-live.</t>
        </is>
      </c>
      <c r="E35" s="53" t="inlineStr">
        <is>
          <t>Regional EMA, large PSAPs, hospital EMS coordinators</t>
        </is>
      </c>
      <c r="F35" s="53" t="inlineStr">
        <is>
          <t>Pair with Hospital Routing / MCI modules and Incident Command suite. Great grant narrative.</t>
        </is>
      </c>
      <c r="G35" s="53" t="inlineStr">
        <is>
          <t>Not automatic mutual-aid legal authority; not a radio system</t>
        </is>
      </c>
      <c r="H35" s="53" t="inlineStr">
        <is>
          <t>Feature Add-Ons / Incident Command</t>
        </is>
      </c>
    </row>
    <row r="36" ht="130" customHeight="1" s="164">
      <c r="A36" s="51" t="inlineStr">
        <is>
          <t>Continuity &amp; Command</t>
        </is>
      </c>
      <c r="B36" s="52" t="inlineStr">
        <is>
          <t>Major Incident Management / Command Dashboard / War Rooms</t>
        </is>
      </c>
      <c r="C36" s="51" t="inlineStr">
        <is>
          <t>Structured major-incident coordination instead of scattered phone trees and whiteboards.</t>
        </is>
      </c>
      <c r="D36" s="51" t="inlineStr">
        <is>
          <t>These Incident Command add-ons (included in Command plan) give supervisors and command staff status boards, collaborative war rooms, and a decision-support command view while local CAD remains system of record. Sell for storms, active incidents, large events, and EOC activity. On Essential/Professional, package as add-ons; on Command, remind them it’s already in the base so you can sell adjacent modules (PIO view, stakeholder pages, Mutual Aid).</t>
        </is>
      </c>
      <c r="E36" s="51" t="inlineStr">
        <is>
          <t>Supervisors, agency admins, EOC liaisons</t>
        </is>
      </c>
      <c r="F36" s="51" t="inlineStr">
        <is>
          <t>Replay their last big event. Show war room vs. group text chaos.</t>
        </is>
      </c>
      <c r="G36" s="51" t="inlineStr">
        <is>
          <t>Not a replacement CAD; not public mass notification by itself</t>
        </is>
      </c>
      <c r="H36" s="51" t="inlineStr">
        <is>
          <t>Incident Command</t>
        </is>
      </c>
    </row>
    <row r="37" ht="78" customHeight="1" s="164">
      <c r="A37" s="53" t="inlineStr">
        <is>
          <t>Continuity &amp; Command</t>
        </is>
      </c>
      <c r="B37" s="54" t="inlineStr">
        <is>
          <t>Runbooks / Playbooks</t>
        </is>
      </c>
      <c r="C37" s="53" t="inlineStr">
        <is>
          <t>Approved steps under stress — so every shift runs the same play.</t>
        </is>
      </c>
      <c r="D37" s="53" t="inlineStr">
        <is>
          <t>Operational runbooks/playbooks attached to incident types so staff follow approved steps during high stress. Content must be agency-owned and kept current — sell the discipline, not just the UI. Included or add-on depending on plan (see Incident Command / plan sheets).</t>
        </is>
      </c>
      <c r="E37" s="53" t="inlineStr">
        <is>
          <t>Training officers, supervisors, agency admins</t>
        </is>
      </c>
      <c r="F37" s="53" t="inlineStr">
        <is>
          <t>Ask who owns SOPs today. Offer to load their top 5 incident types in onboarding.</t>
        </is>
      </c>
      <c r="G37" s="53" t="inlineStr">
        <is>
          <t>Not legal advice; not automatic SOP compliance certification</t>
        </is>
      </c>
      <c r="H37" s="53" t="inlineStr">
        <is>
          <t>Incident Command</t>
        </is>
      </c>
    </row>
    <row r="38" ht="91" customHeight="1" s="164">
      <c r="A38" s="51" t="inlineStr">
        <is>
          <t>Continuity &amp; Command</t>
        </is>
      </c>
      <c r="B38" s="52" t="inlineStr">
        <is>
          <t>Escalation Bridge (live ops) vs Reliability Escalation Engine</t>
        </is>
      </c>
      <c r="C38" s="51" t="inlineStr">
        <is>
          <t>Know which escalation you’re selling — live incident path vs IT/ops reliability path.</t>
        </is>
      </c>
      <c r="D38" s="51" t="inlineStr">
        <is>
          <t>Live ops Escalation Bridge routes active incident escalation into supervisor/command workflows. The Reliability Escalation Engine (Reliability Ops sheet) is for platform/IT alert promotion and on-call routing when systems degrade. Do not conflate them on a quote. Both matter; different buyers (ops floor vs agency IT/NOC).</t>
        </is>
      </c>
      <c r="E38" s="51" t="inlineStr">
        <is>
          <t>Ops supervisors (live) vs Agency IT / NOC (reliability)</t>
        </is>
      </c>
      <c r="F38" s="51" t="inlineStr">
        <is>
          <t>Ask whether the pain is ‘calls escalating’ or ‘systems paging.’ Quote the matching sheet.</t>
        </is>
      </c>
      <c r="G38" s="51" t="inlineStr">
        <is>
          <t>Not interchangeable products; not a radio console</t>
        </is>
      </c>
      <c r="H38" s="51" t="inlineStr">
        <is>
          <t>Feature Add-Ons / Reliability Ops</t>
        </is>
      </c>
    </row>
    <row r="39">
      <c r="A39" s="194" t="inlineStr">
        <is>
          <t xml:space="preserve">  AI &amp; CALL INTELLIGENCE</t>
        </is>
      </c>
    </row>
    <row r="40" ht="91" customHeight="1" s="164">
      <c r="A40" s="53" t="inlineStr">
        <is>
          <t>AI &amp; Call Intelligence</t>
        </is>
      </c>
      <c r="B40" s="54" t="inlineStr">
        <is>
          <t>AI Triage Workflows</t>
        </is>
      </c>
      <c r="C40" s="53" t="inlineStr">
        <is>
          <t>Structured AI prompts during intake — dispatcher stays in control.</t>
        </is>
      </c>
      <c r="D40" s="53" t="inlineStr">
        <is>
          <t>Tiered AI triage (Basic → Premium by rule depth) that surfaces protocol-oriented suggestions while the call is live. Always position as decision support, never as replacing dispatcher judgment. Pairs with live transcription; without transcription most AI value collapses. Never offer core AI triage as complimentary on a paid order.</t>
        </is>
      </c>
      <c r="E40" s="53" t="inlineStr">
        <is>
          <t>Dispatchers and supervisors; ECC directors buying consistency</t>
        </is>
      </c>
      <c r="F40" s="53" t="inlineStr">
        <is>
          <t>Demo mid-call suggestions. Repeat: human remains accountable.</t>
        </is>
      </c>
      <c r="G40" s="53" t="inlineStr">
        <is>
          <t>Not autonomous dispatch; not a protocol certification body</t>
        </is>
      </c>
      <c r="H40" s="53" t="inlineStr">
        <is>
          <t>AI Intelligence</t>
        </is>
      </c>
    </row>
    <row r="41" ht="78" customHeight="1" s="164">
      <c r="A41" s="51" t="inlineStr">
        <is>
          <t>AI &amp; Call Intelligence</t>
        </is>
      </c>
      <c r="B41" s="52" t="inlineStr">
        <is>
          <t>AI Confidence Scoring</t>
        </is>
      </c>
      <c r="C41" s="51" t="inlineStr">
        <is>
          <t>Shows when the model is unsure — so staff pause or escalate.</t>
        </is>
      </c>
      <c r="D41" s="51" t="inlineStr">
        <is>
          <t>Confidence metadata on AI outputs so dispatchers and supervisors know when to trust, pause, or escalate. Upsell Advanced/Premium when the agency wants multi-factor scoring. Excellent objection-handler for ‘we don’t trust AI’ — you’re selling the brake pedal, not just the engine.</t>
        </is>
      </c>
      <c r="E41" s="51" t="inlineStr">
        <is>
          <t>Risk-aware ECC leaders and QA supervisors</t>
        </is>
      </c>
      <c r="F41" s="51" t="inlineStr">
        <is>
          <t>Show a low-confidence example and the human override path.</t>
        </is>
      </c>
      <c r="G41" s="51" t="inlineStr">
        <is>
          <t>Not a guarantee of correctness; not automatic escalation policy</t>
        </is>
      </c>
      <c r="H41" s="51" t="inlineStr">
        <is>
          <t>AI Intelligence</t>
        </is>
      </c>
    </row>
    <row r="42" ht="65" customHeight="1" s="164">
      <c r="A42" s="53" t="inlineStr">
        <is>
          <t>AI &amp; Call Intelligence</t>
        </is>
      </c>
      <c r="B42" s="54" t="inlineStr">
        <is>
          <t>AI Incident Summarization</t>
        </is>
      </c>
      <c r="C42" s="53" t="inlineStr">
        <is>
          <t>Draft narratives for handoffs and AARs — humans edit before they become record.</t>
        </is>
      </c>
      <c r="D42" s="53" t="inlineStr">
        <is>
          <t>Volume-tiered AI summaries that draft incident narratives for handoff and after-action use. Always human-editable. Sell time-back to supervisors and training units. Price by monthly call volume band.</t>
        </is>
      </c>
      <c r="E42" s="53" t="inlineStr">
        <is>
          <t>Supervisors, training, agency admins</t>
        </is>
      </c>
      <c r="F42" s="53" t="inlineStr">
        <is>
          <t>Show before/after summary time. Keep ‘draft’ language in every proposal.</t>
        </is>
      </c>
      <c r="G42" s="53" t="inlineStr">
        <is>
          <t>Not an official CAD narrative without human acceptance</t>
        </is>
      </c>
      <c r="H42" s="53" t="inlineStr">
        <is>
          <t>AI Intelligence</t>
        </is>
      </c>
    </row>
    <row r="43" ht="65" customHeight="1" s="164">
      <c r="A43" s="51" t="inlineStr">
        <is>
          <t>AI &amp; Call Intelligence</t>
        </is>
      </c>
      <c r="B43" s="52" t="inlineStr">
        <is>
          <t>AI Dispatcher Recommendation Engine</t>
        </is>
      </c>
      <c r="C43" s="51" t="inlineStr">
        <is>
          <t>Structured recommendations under pressure — staff remain accountable.</t>
        </is>
      </c>
      <c r="D43" s="51" t="inlineStr">
        <is>
          <t>Recommendation engine for dispatcher decisions based on live context. Standard vs Advanced tiers. High-value, high-scrutiny — scope carefully and keep human-accountability language airtight in writing.</t>
        </is>
      </c>
      <c r="E43" s="51" t="inlineStr">
        <is>
          <t>Progressive ECC directors with strong training culture</t>
        </is>
      </c>
      <c r="F43" s="51" t="inlineStr">
        <is>
          <t>Pair with QA and SOP libraries. Avoid over-promising outcomes.</t>
        </is>
      </c>
      <c r="G43" s="51" t="inlineStr">
        <is>
          <t>Not autonomous unit recommendation into CAD</t>
        </is>
      </c>
      <c r="H43" s="51" t="inlineStr">
        <is>
          <t>AI Intelligence</t>
        </is>
      </c>
    </row>
    <row r="44" ht="65" customHeight="1" s="164">
      <c r="A44" s="53" t="inlineStr">
        <is>
          <t>AI &amp; Call Intelligence</t>
        </is>
      </c>
      <c r="B44" s="54" t="inlineStr">
        <is>
          <t>SOP Protocol AI</t>
        </is>
      </c>
      <c r="C44" s="53" t="inlineStr">
        <is>
          <t>AI aligned to the agency’s own SOP/protocol library during intake.</t>
        </is>
      </c>
      <c r="D44" s="53" t="inlineStr">
        <is>
          <t>Surfaces agency SOP/protocol guidance during intake so suggestions match local policy, not a generic script. Flag-gated. Sell after you know they have digitizable protocols and an owner who will maintain them.</t>
        </is>
      </c>
      <c r="E44" s="53" t="inlineStr">
        <is>
          <t>Training officers, protocol coordinators, supervisors</t>
        </is>
      </c>
      <c r="F44" s="53" t="inlineStr">
        <is>
          <t>Ask for their top protocol packs in discovery. Don’t promise content creation for free.</t>
        </is>
      </c>
      <c r="G44" s="53" t="inlineStr">
        <is>
          <t>Not a substitute for certified protocol instruction</t>
        </is>
      </c>
      <c r="H44" s="53" t="inlineStr">
        <is>
          <t>Feature Add-Ons / product modules</t>
        </is>
      </c>
    </row>
    <row r="45">
      <c r="A45" s="194" t="inlineStr">
        <is>
          <t xml:space="preserve">  LANGUAGE &amp; TRANSCRIPTION</t>
        </is>
      </c>
    </row>
    <row r="46" ht="104" customHeight="1" s="164">
      <c r="A46" s="51" t="inlineStr">
        <is>
          <t>Language &amp; Transcription</t>
        </is>
      </c>
      <c r="B46" s="52" t="inlineStr">
        <is>
          <t>Live Transcription</t>
        </is>
      </c>
      <c r="C46" s="51" t="inlineStr">
        <is>
          <t>Every word captured as the call happens — foundation for AI, QA, and audit.</t>
        </is>
      </c>
      <c r="D46" s="51" t="inlineStr">
        <is>
          <t>Real-time speech-to-text in the dispatcher workspace. Core differentiator and never free. Transcripts feed AI, QA scorecards, disposition summaries, and audit. If budget is tight, protect transcription before nearly every other add-on — most intelligence value depends on it. Enhanced accuracy tiers upsell cleaner transcripts at higher volumes.</t>
        </is>
      </c>
      <c r="E46" s="51" t="inlineStr">
        <is>
          <t>Every PSAP buyer</t>
        </is>
      </c>
      <c r="F46" s="51" t="inlineStr">
        <is>
          <t>Make it non-negotiable in Professional+ narratives. Never ‘throw in free.’</t>
        </is>
      </c>
      <c r="G46" s="51" t="inlineStr">
        <is>
          <t>Not a courtroom stenographer guarantee; enhanced accuracy is a separate tier</t>
        </is>
      </c>
      <c r="H46" s="51" t="inlineStr">
        <is>
          <t>Transcription / Essential–Command</t>
        </is>
      </c>
    </row>
    <row r="47" ht="78" customHeight="1" s="164">
      <c r="A47" s="53" t="inlineStr">
        <is>
          <t>Language &amp; Transcription</t>
        </is>
      </c>
      <c r="B47" s="54" t="inlineStr">
        <is>
          <t>Live Translation (PSAP)</t>
        </is>
      </c>
      <c r="C47" s="53" t="inlineStr">
        <is>
          <t>Understand non-English callers faster inside the telecommunicator workflow.</t>
        </is>
      </c>
      <c r="D47" s="53" t="inlineStr">
        <is>
          <t>Real-time translation in PSAP intake workflows. Included in Professional+; add-on on Essential. Language packs (Top 10 / Top 15 / custom) deepen coverage. Sell for community language access and equity narratives — and for reducing interpreter wait on common languages.</t>
        </is>
      </c>
      <c r="E47" s="53" t="inlineStr">
        <is>
          <t>ECC directors in multilingual communities</t>
        </is>
      </c>
      <c r="F47" s="53" t="inlineStr">
        <is>
          <t>On Essential, price translation explicitly. On Pro+, sell language packs for depth.</t>
        </is>
      </c>
      <c r="G47" s="53" t="inlineStr">
        <is>
          <t>Not a certified interpreter replacement for every legal scenario</t>
        </is>
      </c>
      <c r="H47" s="53" t="inlineStr">
        <is>
          <t>Transcription</t>
        </is>
      </c>
    </row>
    <row r="48" ht="91" customHeight="1" s="164">
      <c r="A48" s="51" t="inlineStr">
        <is>
          <t>Language &amp; Transcription</t>
        </is>
      </c>
      <c r="B48" s="52" t="inlineStr">
        <is>
          <t>NexCort Translate (ops / field)</t>
        </is>
      </c>
      <c r="C48" s="51" t="inlineStr">
        <is>
          <t>Language access where the public is standing — campus, venue, transit, clinical — not only on the 911 line.</t>
        </is>
      </c>
      <c r="D48" s="51" t="inlineStr">
        <is>
          <t>Translation sessions for field and ops consoles outside the classic telecommunicator bridge. Complements PSAP live translation. Sell when the buyer’s language pain is at the point of contact (security desk, guest services, triage desk), not only in the ECC.</t>
        </is>
      </c>
      <c r="E48" s="51" t="inlineStr">
        <is>
          <t>Campus/venue/transit/hospital ops leaders</t>
        </is>
      </c>
      <c r="F48" s="51" t="inlineStr">
        <is>
          <t>Don’t double-sell against PSAP Live Translation — explain the different venue of use.</t>
        </is>
      </c>
      <c r="G48" s="51" t="inlineStr">
        <is>
          <t>Not the same SKU as PSAP Live Translation; not a phone interpreter network contract</t>
        </is>
      </c>
      <c r="H48" s="51" t="inlineStr">
        <is>
          <t>Feature Add-Ons</t>
        </is>
      </c>
    </row>
    <row r="49" ht="52" customHeight="1" s="164">
      <c r="A49" s="53" t="inlineStr">
        <is>
          <t>Language &amp; Transcription</t>
        </is>
      </c>
      <c r="B49" s="54" t="inlineStr">
        <is>
          <t>Speaker Diarization</t>
        </is>
      </c>
      <c r="C49" s="53" t="inlineStr">
        <is>
          <t>Separates who said what — critical for QA and investigations.</t>
        </is>
      </c>
      <c r="D49" s="53" t="inlineStr">
        <is>
          <t>Speaker separation on transcripts by volume tier. Sell to QA, training, and agencies with heavy investigation/records needs. Pairs with enhanced transcription.</t>
        </is>
      </c>
      <c r="E49" s="53" t="inlineStr">
        <is>
          <t>QA supervisors, training, records/investigations stakeholders</t>
        </is>
      </c>
      <c r="F49" s="53" t="inlineStr">
        <is>
          <t>Play a two-speaker sample. Attach to QA suite deals.</t>
        </is>
      </c>
      <c r="G49" s="53" t="inlineStr">
        <is>
          <t>Not perfect identity attribution of unknown callers</t>
        </is>
      </c>
      <c r="H49" s="53" t="inlineStr">
        <is>
          <t>Transcription</t>
        </is>
      </c>
    </row>
    <row r="50">
      <c r="A50" s="194" t="inlineStr">
        <is>
          <t xml:space="preserve">  CALLER MEDIA</t>
        </is>
      </c>
    </row>
    <row r="51" ht="65" customHeight="1" s="164">
      <c r="A51" s="51" t="inlineStr">
        <is>
          <t>Caller Media</t>
        </is>
      </c>
      <c r="B51" s="52" t="inlineStr">
        <is>
          <t>Caller SMS Link Generation</t>
        </is>
      </c>
      <c r="C51" s="51" t="inlineStr">
        <is>
          <t>Send a secure link so the caller can share location or media without installing an app.</t>
        </is>
      </c>
      <c r="D51" s="51" t="inlineStr">
        <is>
          <t>Generates time-limited SMS links for location/media workflows. Foundational for silent/text paths and citizen media. Tier by monthly link volume. Combine with photo/video upload and LiveLocation messaging.</t>
        </is>
      </c>
      <c r="E51" s="51" t="inlineStr">
        <is>
          <t>Dispatchers and supervisors; campus/transit passenger workflows</t>
        </is>
      </c>
      <c r="F51" s="51" t="inlineStr">
        <is>
          <t>Demo the text-the-link moment. Upsell media tiers once SMS adoption is real.</t>
        </is>
      </c>
      <c r="G51" s="51" t="inlineStr">
        <is>
          <t>Not guaranteed carrier delivery SLAs; not a mass-notification short code</t>
        </is>
      </c>
      <c r="H51" s="51" t="inlineStr">
        <is>
          <t>Caller Media</t>
        </is>
      </c>
    </row>
    <row r="52" ht="104" customHeight="1" s="164">
      <c r="A52" s="53" t="inlineStr">
        <is>
          <t>Caller Media</t>
        </is>
      </c>
      <c r="B52" s="54" t="inlineStr">
        <is>
          <t>Caller Photo / Video Upload</t>
        </is>
      </c>
      <c r="C52" s="53" t="inlineStr">
        <is>
          <t>Still images and clips that clarify location or hazard before units arrive.</t>
        </is>
      </c>
      <c r="D52" s="53" t="inlineStr">
        <is>
          <t>Caller-originated photo and video upload into the incident, with governance/retention controls. Tier by volume and retention. Strong for ‘can’t speak safely’ and hazard identification. Always mention media audit trail for defensibility.</t>
        </is>
      </c>
      <c r="E52" s="53" t="inlineStr">
        <is>
          <t>ECC ops; campus/venue security</t>
        </is>
      </c>
      <c r="F52" s="53" t="inlineStr">
        <is>
          <t>Show a photo clarifying an address or weapon description. Attach audit trail for counsel/CJIS comfort.</t>
        </is>
      </c>
      <c r="G52" s="53" t="inlineStr">
        <is>
          <t>Not live streaming (that’s a separate SKU); not public social media ingest</t>
        </is>
      </c>
      <c r="H52" s="53" t="inlineStr">
        <is>
          <t>Caller Media</t>
        </is>
      </c>
    </row>
    <row r="53" ht="78" customHeight="1" s="164">
      <c r="A53" s="51" t="inlineStr">
        <is>
          <t>Caller Media</t>
        </is>
      </c>
      <c r="B53" s="52" t="inlineStr">
        <is>
          <t>Live Caller Video Streaming</t>
        </is>
      </c>
      <c r="C53" s="51" t="inlineStr">
        <is>
          <t>Narrow live WebRTC view from the caller device with operational discipline.</t>
        </is>
      </c>
      <c r="D53" s="51" t="inlineStr">
        <is>
          <t>Real-time caller video into the workspace via consent/SMS flows. Higher-trust, higher-bandwidth than upload. Quote Standard vs Premium carefully; confirm policy for when live video is appropriate. Distinct from NexIQ Vision™ facility cameras.</t>
        </is>
      </c>
      <c r="E53" s="51" t="inlineStr">
        <is>
          <t>Supervisors and progressive ECC/campus programs</t>
        </is>
      </c>
      <c r="F53" s="51" t="inlineStr">
        <is>
          <t>Separate ‘caller live video’ from ‘facility cameras’ in every proposal line.</t>
        </is>
      </c>
      <c r="G53" s="51" t="inlineStr">
        <is>
          <t>Not facility CCTV; not continuous recording of the public without policy</t>
        </is>
      </c>
      <c r="H53" s="51" t="inlineStr">
        <is>
          <t>Caller Media</t>
        </is>
      </c>
    </row>
    <row r="54" ht="65" customHeight="1" s="164">
      <c r="A54" s="53" t="inlineStr">
        <is>
          <t>Caller Media</t>
        </is>
      </c>
      <c r="B54" s="54" t="inlineStr">
        <is>
          <t>Media Audit Trail / Redaction / Retention</t>
        </is>
      </c>
      <c r="C54" s="53" t="inlineStr">
        <is>
          <t>Defensible media handling for investigations, QA, and records requests.</t>
        </is>
      </c>
      <c r="D54" s="53" t="inlineStr">
        <is>
          <t>Audit who accessed media, redaction workflows, and retention controls so the platform follows agency hold/purge rules. Sell to counsel, records, and CJIS-minded IT — not as a flashy demo feature.</t>
        </is>
      </c>
      <c r="E54" s="53" t="inlineStr">
        <is>
          <t>Agency counsel, records, agency admin/IT</t>
        </is>
      </c>
      <c r="F54" s="53" t="inlineStr">
        <is>
          <t>Bring to security review meetings. Bundle with caller media sales.</t>
        </is>
      </c>
      <c r="G54" s="53" t="inlineStr">
        <is>
          <t>Not legal privilege advice; not automatic FOIA responses</t>
        </is>
      </c>
      <c r="H54" s="53" t="inlineStr">
        <is>
          <t>Caller Media</t>
        </is>
      </c>
    </row>
    <row r="55">
      <c r="A55" s="194" t="inlineStr">
        <is>
          <t xml:space="preserve">  LOCATION &amp; REPORTING</t>
        </is>
      </c>
    </row>
    <row r="56" ht="117" customHeight="1" s="164">
      <c r="A56" s="51" t="inlineStr">
        <is>
          <t>Location &amp; Reporting</t>
        </is>
      </c>
      <c r="B56" s="52" t="inlineStr">
        <is>
          <t>QR &amp; NFC Code Management</t>
        </is>
      </c>
      <c r="C56" s="51" t="inlineStr">
        <is>
          <t>Put a report button on every door, stop, and gate — unique URL per location.</t>
        </is>
      </c>
      <c r="D56" s="51" t="inlineStr">
        <is>
          <t>Generate unique reporting URLs per location with downloadable QR images and NFC tag URLs. Scan and tap counts tracked separately. Included or add-on by vertical/plan (see Feature Add-Ons matrix). PSAP roles are intentionally excluded from managing campus/venue/transit QR estates — those vertical admins own them. Land-and-expand from Community Connect free tip line into multi-zone paid QR.</t>
        </is>
      </c>
      <c r="E56" s="51" t="inlineStr">
        <is>
          <t>Campus, venue, transit admins/supervisors; venue operators</t>
        </is>
      </c>
      <c r="F56" s="51" t="inlineStr">
        <is>
          <t>Walk a physical zone story. Upsell analytics and SMS location after adoption.</t>
        </is>
      </c>
      <c r="G56" s="51" t="inlineStr">
        <is>
          <t>Not a marketing QR platform; not PSAP-managed for vertical estates</t>
        </is>
      </c>
      <c r="H56" s="51" t="inlineStr">
        <is>
          <t>Feature Add-Ons</t>
        </is>
      </c>
    </row>
    <row r="57" ht="78" customHeight="1" s="164">
      <c r="A57" s="53" t="inlineStr">
        <is>
          <t>Location &amp; Reporting</t>
        </is>
      </c>
      <c r="B57" s="54" t="inlineStr">
        <is>
          <t>SMS Location Acquisition</t>
        </is>
      </c>
      <c r="C57" s="53" t="inlineStr">
        <is>
          <t>Auto-reply a GPS link when someone texts the emergency/reporting number.</t>
        </is>
      </c>
      <c r="D57" s="53" t="inlineStr">
        <is>
          <t>When a student, passenger, or tipster texts in, the system can auto-reply with a one-tap location link and track engagement across QR vs NFC vs SMS. Monthly add-on plus setup. Excellent for outdoor campuses and transit stops where address is weak.</t>
        </is>
      </c>
      <c r="E57" s="53" t="inlineStr">
        <is>
          <t>Campus safety, transit security, tip-line programs</t>
        </is>
      </c>
      <c r="F57" s="53" t="inlineStr">
        <is>
          <t>Demo text → link → pin on map. Attach Location Analytics for leadership reporting.</t>
        </is>
      </c>
      <c r="G57" s="53" t="inlineStr">
        <is>
          <t>Not guaranteed precise indoor GPS; not a mass alert short code</t>
        </is>
      </c>
      <c r="H57" s="53" t="inlineStr">
        <is>
          <t>Feature Add-Ons</t>
        </is>
      </c>
    </row>
    <row r="58" ht="78" customHeight="1" s="164">
      <c r="A58" s="51" t="inlineStr">
        <is>
          <t>Location &amp; Reporting</t>
        </is>
      </c>
      <c r="B58" s="52" t="inlineStr">
        <is>
          <t>Agency Share</t>
        </is>
      </c>
      <c r="C58" s="51" t="inlineStr">
        <is>
          <t>Consent-based cross-agency incident awareness — a feature, not a product logo.</t>
        </is>
      </c>
      <c r="D58" s="51" t="inlineStr">
        <is>
          <t>Controlled, bidirectional, consent-based sharing of incident context between partner agencies with dual audit trails. Sold as a monthly feature add-on (~$1,500 list), not a separate product brand. Both agencies must authorize. Scope by incident type. Never imply free cross-tenant browsing.</t>
        </is>
      </c>
      <c r="E58" s="51" t="inlineStr">
        <is>
          <t>Neighboring PSAPs, campus↔city pairs, hospital↔PSAP partners</t>
        </is>
      </c>
      <c r="F58" s="51" t="inlineStr">
        <is>
          <t>Require both sides in the conversation. Use mutual-aid stories.</t>
        </is>
      </c>
      <c r="G58" s="51" t="inlineStr">
        <is>
          <t>Not a free mesh; not automatic data sharing; not CAD-to-CAD by itself</t>
        </is>
      </c>
      <c r="H58" s="51" t="inlineStr">
        <is>
          <t>Feature Add-Ons</t>
        </is>
      </c>
    </row>
    <row r="59">
      <c r="A59" s="194" t="inlineStr">
        <is>
          <t xml:space="preserve">  VERTICAL OPS &amp; COMPLIANCE</t>
        </is>
      </c>
    </row>
    <row r="60" ht="104" customHeight="1" s="164">
      <c r="A60" s="53" t="inlineStr">
        <is>
          <t>Vertical Ops &amp; Compliance</t>
        </is>
      </c>
      <c r="B60" s="54" t="inlineStr">
        <is>
          <t>Emergency Alert Broadcast (+ Short Code)</t>
        </is>
      </c>
      <c r="C60" s="53" t="inlineStr">
        <is>
          <t>Push occupant alerts from campus/venue/transit consoles — be honest about SMS timing.</t>
        </is>
      </c>
      <c r="D60" s="53" t="inlineStr">
        <is>
          <t>Mass notification initiated from vertical consoles. Web dashboard delivery for open sessions is fast; dedicated SMS short-code is a separate pass-through with 8–12 week procurement and carrier delivery measured in minutes for large blasts — not sub-3 seconds. Never oversell SMS speed. Pair with Clery/campus safety narratives carefully and truthfully.</t>
        </is>
      </c>
      <c r="E60" s="53" t="inlineStr">
        <is>
          <t>Campus/venue/transit admins and supervisors</t>
        </is>
      </c>
      <c r="F60" s="53" t="inlineStr">
        <is>
          <t>Sell dashboard alerting first; treat short-code as a procurement project.</t>
        </is>
      </c>
      <c r="G60" s="53" t="inlineStr">
        <is>
          <t>Not IPAWS/WEA replacement; not sub-3s SMS to 50k phones</t>
        </is>
      </c>
      <c r="H60" s="53" t="inlineStr">
        <is>
          <t>Feature Add-Ons</t>
        </is>
      </c>
    </row>
    <row r="61" ht="91" customHeight="1" s="164">
      <c r="A61" s="51" t="inlineStr">
        <is>
          <t>Vertical Ops &amp; Compliance</t>
        </is>
      </c>
      <c r="B61" s="52" t="inlineStr">
        <is>
          <t>Clery Act Compliance Module</t>
        </is>
      </c>
      <c r="C61" s="51" t="inlineStr">
        <is>
          <t>Structured Clery workflows for campus — documentation aid, not legal advice.</t>
        </is>
      </c>
      <c r="D61" s="51" t="inlineStr">
        <is>
          <t>Campus Command+ module for CSA registry, human classification, Daily Crime Log timing, public crime log, and ASR statistics support. Explicitly does not constitute legal advice. Distinguishes from the lighter ‘basic Clery documentation log’ included in Campus base. Sell to Clery coordinators who are drowning in spreadsheets.</t>
        </is>
      </c>
      <c r="E61" s="51" t="inlineStr">
        <is>
          <t>Clery coordinators, campus safety leadership</t>
        </is>
      </c>
      <c r="F61" s="51" t="inlineStr">
        <is>
          <t>Never claim ‘makes you Clery compliant.’ Claim ‘structures the workflow and evidence trail.’</t>
        </is>
      </c>
      <c r="G61" s="51" t="inlineStr">
        <is>
          <t>Not legal advice; not automatic classification without humans</t>
        </is>
      </c>
      <c r="H61" s="51" t="inlineStr">
        <is>
          <t>Feature Add-Ons / RC Campus</t>
        </is>
      </c>
    </row>
    <row r="62" ht="78" customHeight="1" s="164">
      <c r="A62" s="53" t="inlineStr">
        <is>
          <t>Vertical Ops &amp; Compliance</t>
        </is>
      </c>
      <c r="B62" s="54" t="inlineStr">
        <is>
          <t>Physical Security Ingest</t>
        </is>
      </c>
      <c r="C62" s="53" t="inlineStr">
        <is>
          <t>Fire panel and access-control events into ops — lock/unlock stays fail-closed.</t>
        </is>
      </c>
      <c r="D62" s="53" t="inlineStr">
        <is>
          <t>Ingests physical security events (fire panel, access control) into ops consoles. Outbound lock/unlock commands are a separate fail-closed flag requiring human approval — do not promise automatic door control. Sell to campus/venue physical security teams integrating SOC and safety reporting.</t>
        </is>
      </c>
      <c r="E62" s="53" t="inlineStr">
        <is>
          <t>Physical security / SOC managers with campus or venue estates</t>
        </is>
      </c>
      <c r="F62" s="53" t="inlineStr">
        <is>
          <t>Confirm event ingest first; treat actuation as a later controlled phase.</t>
        </is>
      </c>
      <c r="G62" s="53" t="inlineStr">
        <is>
          <t>Not automatic unlock; not a full access-control admin suite</t>
        </is>
      </c>
      <c r="H62" s="53" t="inlineStr">
        <is>
          <t>Feature Add-Ons</t>
        </is>
      </c>
    </row>
    <row r="63" ht="78" customHeight="1" s="164">
      <c r="A63" s="51" t="inlineStr">
        <is>
          <t>Vertical Ops &amp; Compliance</t>
        </is>
      </c>
      <c r="B63" s="52" t="inlineStr">
        <is>
          <t>Hospital Routing Module</t>
        </is>
      </c>
      <c r="C63" s="51" t="inlineStr">
        <is>
          <t>Divert status, ED routing, and trauma bay awareness for EMS–hospital coordination.</t>
        </is>
      </c>
      <c r="D63" s="51" t="inlineStr">
        <is>
          <t>Hospital Professional+ module for divert status, ED routing, trauma bay availability, and related coordination. Complements RC Hospital base and MCI modules. Sell with EMS medical directors and hospital emergency management — keep PSAP vs hospital portal boundaries clear.</t>
        </is>
      </c>
      <c r="E63" s="51" t="inlineStr">
        <is>
          <t>Hospital EMS coordinators, ED leadership</t>
        </is>
      </c>
      <c r="F63" s="51" t="inlineStr">
        <is>
          <t>Attach to MCI/mutual-aid regional packages.</t>
        </is>
      </c>
      <c r="G63" s="51" t="inlineStr">
        <is>
          <t>Not an EHR; not ambulance billing</t>
        </is>
      </c>
      <c r="H63" s="51" t="inlineStr">
        <is>
          <t>Feature Add-Ons / RC Hospital</t>
        </is>
      </c>
    </row>
    <row r="64" ht="104" customHeight="1" s="164">
      <c r="A64" s="53" t="inlineStr">
        <is>
          <t>Vertical Ops &amp; Compliance</t>
        </is>
      </c>
      <c r="B64" s="54" t="inlineStr">
        <is>
          <t>Venue Guest Services Console</t>
        </is>
      </c>
      <c r="C64" s="53" t="inlineStr">
        <is>
          <t>Guest issues and wayfinding — explicitly not emergency dispatch.</t>
        </is>
      </c>
      <c r="D64" s="53" t="inlineStr">
        <is>
          <t>Orange-branded console for VENUE_GUEST_SERVICES and related ops. Handles guest issues separately from security command. Every page should reinforce it is not a 911 emergency dispatch system — your proposal language must say the same. Sell to venue GMs who need guest ops without polluting the security stack.</t>
        </is>
      </c>
      <c r="E64" s="53" t="inlineStr">
        <is>
          <t>Venue guest services / guest experience leadership</t>
        </is>
      </c>
      <c r="F64" s="53" t="inlineStr">
        <is>
          <t>Always dual-track Security vs Guest Services in the org chart discussion.</t>
        </is>
      </c>
      <c r="G64" s="53" t="inlineStr">
        <is>
          <t>Not a 911 system; not a security command replacement</t>
        </is>
      </c>
      <c r="H64" s="53" t="inlineStr">
        <is>
          <t>Feature Add-Ons / RC Venue</t>
        </is>
      </c>
    </row>
    <row r="65">
      <c r="A65" s="194" t="inlineStr">
        <is>
          <t xml:space="preserve">  SUPERVISOR &amp; QA</t>
        </is>
      </c>
    </row>
    <row r="66" ht="91" customHeight="1" s="164">
      <c r="A66" s="51" t="inlineStr">
        <is>
          <t>Supervisor &amp; QA</t>
        </is>
      </c>
      <c r="B66" s="52" t="inlineStr">
        <is>
          <t>QA Review Tools / Scorecards / Coaching Notes</t>
        </is>
      </c>
      <c r="C66" s="51" t="inlineStr">
        <is>
          <t>Structured coaching instead of random call reviews.</t>
        </is>
      </c>
      <c r="D66" s="51" t="inlineStr">
        <is>
          <t>Supervisor suite for scoring calls, documenting coaching, and tracking follow-ups. Limited on Essential; included/expanded on Professional+. Bundle Scorecards + Coaching + Team Dashboards at 15% when sold together (see Supervisor QA sheet). Custom QA rubrics are high-value one-time work after pilot.</t>
        </is>
      </c>
      <c r="E66" s="51" t="inlineStr">
        <is>
          <t>Supervisors, training coordinators, agency admins</t>
        </is>
      </c>
      <c r="F66" s="51" t="inlineStr">
        <is>
          <t>Ask how many calls they QA today. Sell consistency and documentation.</t>
        </is>
      </c>
      <c r="G66" s="51" t="inlineStr">
        <is>
          <t>Not automatic HR discipline; AI QA scoring is a separate upsell</t>
        </is>
      </c>
      <c r="H66" s="51" t="inlineStr">
        <is>
          <t>Supervisor QA</t>
        </is>
      </c>
    </row>
    <row r="67" ht="91" customHeight="1" s="164">
      <c r="A67" s="53" t="inlineStr">
        <is>
          <t>Supervisor &amp; QA</t>
        </is>
      </c>
      <c r="B67" s="54" t="inlineStr">
        <is>
          <t>Team Performance Dashboards / Call Quality Trends</t>
        </is>
      </c>
      <c r="C67" s="53" t="inlineStr">
        <is>
          <t>See team strain and whether coaching is working.</t>
        </is>
      </c>
      <c r="D67" s="53" t="inlineStr">
        <is>
          <t>Real-time and longitudinal supervisor analytics for team performance and quality trends. Included on Professional+; add-on on Essential. Pair with iQ Reporting for leadership-facing daily packs.</t>
        </is>
      </c>
      <c r="E67" s="53" t="inlineStr">
        <is>
          <t>Supervisors and ECC managers</t>
        </is>
      </c>
      <c r="F67" s="53" t="inlineStr">
        <is>
          <t>Show trend lines tied to coaching interventions.</t>
        </is>
      </c>
      <c r="G67" s="53" t="inlineStr">
        <is>
          <t>Not payroll/HRIS; not public CompStat</t>
        </is>
      </c>
      <c r="H67" s="53" t="inlineStr">
        <is>
          <t>Supervisor QA</t>
        </is>
      </c>
    </row>
    <row r="68">
      <c r="A68" s="194" t="inlineStr">
        <is>
          <t xml:space="preserve">  RELIABILITY &amp; PLATFORM</t>
        </is>
      </c>
    </row>
    <row r="69" ht="78" customHeight="1" s="164">
      <c r="A69" s="51" t="inlineStr">
        <is>
          <t>Reliability &amp; Platform</t>
        </is>
      </c>
      <c r="B69" s="52" t="inlineStr">
        <is>
          <t>Monitoring / Alert Correlation / On-Call / SLO Dashboards</t>
        </is>
      </c>
      <c r="C69" s="51" t="inlineStr">
        <is>
          <t>IT-grade confidence that the platform is healthy during mission-critical ops.</t>
        </is>
      </c>
      <c r="D69" s="51" t="inlineStr">
        <is>
          <t>Reliability Ops add-ons for agencies with NOC/SOC or formal on-call. Included heavily in Command; add-on for lower plans. Sell to Agency IT and NC-coordinated enterprise deals — not as dispatcher toys.</t>
        </is>
      </c>
      <c r="E69" s="51" t="inlineStr">
        <is>
          <t>Agency IT, NOC/SOC, enterprise architects</t>
        </is>
      </c>
      <c r="F69" s="51" t="inlineStr">
        <is>
          <t>Ask about existing paging tools. Offer CloudWatch dashboard package as one-time accelerant.</t>
        </is>
      </c>
      <c r="G69" s="51" t="inlineStr">
        <is>
          <t>Not a general ITSM for the whole city</t>
        </is>
      </c>
      <c r="H69" s="51" t="inlineStr">
        <is>
          <t>Reliability Ops</t>
        </is>
      </c>
    </row>
    <row r="70" ht="65" customHeight="1" s="164">
      <c r="A70" s="53" t="inlineStr">
        <is>
          <t>Reliability &amp; Platform</t>
        </is>
      </c>
      <c r="B70" s="54" t="inlineStr">
        <is>
          <t>Network Access Controls</t>
        </is>
      </c>
      <c r="C70" s="53" t="inlineStr">
        <is>
          <t>Only approved networks and time windows can reach the console.</t>
        </is>
      </c>
      <c r="D70" s="53" t="inlineStr">
        <is>
          <t>IP allowlists and time-window gates per user group; blocked attempts audited. Professional+ monthly add-on. Strong for CJIS-minded IT reviews and agencies locking down remote access.</t>
        </is>
      </c>
      <c r="E70" s="53" t="inlineStr">
        <is>
          <t>Agency IT / information security</t>
        </is>
      </c>
      <c r="F70" s="53" t="inlineStr">
        <is>
          <t>Bring to security questionnaires. Pair with audit retention conversations.</t>
        </is>
      </c>
      <c r="G70" s="53" t="inlineStr">
        <is>
          <t>Not a full Zero Trust suite for the entire enterprise</t>
        </is>
      </c>
      <c r="H70" s="53" t="inlineStr">
        <is>
          <t>Feature Add-Ons</t>
        </is>
      </c>
    </row>
    <row r="71" ht="78" customHeight="1" s="164">
      <c r="A71" s="51" t="inlineStr">
        <is>
          <t>Reliability &amp; Platform</t>
        </is>
      </c>
      <c r="B71" s="52" t="inlineStr">
        <is>
          <t>Deception Shield</t>
        </is>
      </c>
      <c r="C71" s="51" t="inlineStr">
        <is>
          <t>Honeypot/decoy surfaces that detect probing before real data is exposed.</t>
        </is>
      </c>
      <c r="D71" s="51" t="inlineStr">
        <is>
          <t>Defensive security layer using honeypot fields, synthetic paths, and decoy records to detect unauthorized access, credential stuffing, and insider reconnaissance. Command+ monthly. Sell to security-mature enterprises — explain outcomes in plain language, not malware theatrics.</t>
        </is>
      </c>
      <c r="E71" s="51" t="inlineStr">
        <is>
          <t>Agency IT / InfoSec, Enterprise buyers</t>
        </is>
      </c>
      <c r="F71" s="51" t="inlineStr">
        <is>
          <t>Position as early-warning for abuse — not as entrapment of legitimate users.</t>
        </is>
      </c>
      <c r="G71" s="51" t="inlineStr">
        <is>
          <t>Not offensive security services; not a guarantee against all breaches</t>
        </is>
      </c>
      <c r="H71" s="51" t="inlineStr">
        <is>
          <t>Feature Add-Ons</t>
        </is>
      </c>
    </row>
    <row r="72" ht="78" customHeight="1" s="164">
      <c r="A72" s="53" t="inlineStr">
        <is>
          <t>Reliability &amp; Platform</t>
        </is>
      </c>
      <c r="B72" s="54" t="inlineStr">
        <is>
          <t>Extended Audit Retention / API Keys &amp; Webhooks</t>
        </is>
      </c>
      <c r="C72" s="53" t="inlineStr">
        <is>
          <t>Keep audit longer and connect outbound systems — under agency control.</t>
        </is>
      </c>
      <c r="D72" s="53" t="inlineStr">
        <is>
          <t>Extended Audit Retention expands beyond plan retention floors for legal hold and grant reporting. API Keys &amp; Webhooks enable scoped outbound integrations and event subscriptions. Both are monthly platform add-ons. Sell into IT and compliance reviews.</t>
        </is>
      </c>
      <c r="E72" s="53" t="inlineStr">
        <is>
          <t>Agency admin/IT, integrators</t>
        </is>
      </c>
      <c r="F72" s="53" t="inlineStr">
        <is>
          <t>Ask about retention statutes and existing integration backlog.</t>
        </is>
      </c>
      <c r="G72" s="53" t="inlineStr">
        <is>
          <t>Not unlimited public APIs; keys are scoped and revocable</t>
        </is>
      </c>
      <c r="H72" s="53" t="inlineStr">
        <is>
          <t>Feature Add-Ons</t>
        </is>
      </c>
    </row>
    <row r="73" ht="78" customHeight="1" s="164">
      <c r="A73" s="51" t="inlineStr">
        <is>
          <t>Reliability &amp; Platform</t>
        </is>
      </c>
      <c r="B73" s="52" t="inlineStr">
        <is>
          <t>Grant Success Package</t>
        </is>
      </c>
      <c r="C73" s="51" t="inlineStr">
        <is>
          <t>One-time package that makes grant reporting and outcome exports easier.</t>
        </is>
      </c>
      <c r="D73" s="51" t="inlineStr">
        <is>
          <t>Documentation packages, reporting templates, and outcome exports formatted for PSAP improvement and emergency-management preparedness grants. One-time (~$2,500 list), Professional+. Excellent closer when budget is grant-shaped.</t>
        </is>
      </c>
      <c r="E73" s="51" t="inlineStr">
        <is>
          <t>Grant writers, agency admins, project sponsors</t>
        </is>
      </c>
      <c r="F73" s="51" t="inlineStr">
        <is>
          <t>Offer when the funding source is a grant. Don’t pretend it writes the grant narrative for them.</t>
        </is>
      </c>
      <c r="G73" s="51" t="inlineStr">
        <is>
          <t>Not a grant-writing service; not guaranteed award</t>
        </is>
      </c>
      <c r="H73" s="51" t="inlineStr">
        <is>
          <t>Feature Add-Ons</t>
        </is>
      </c>
    </row>
    <row r="74">
      <c r="A74" s="194" t="inlineStr">
        <is>
          <t xml:space="preserve">  SERVICES &amp; COMMERCIAL</t>
        </is>
      </c>
    </row>
    <row r="75" ht="91" customHeight="1" s="164">
      <c r="A75" s="53" t="inlineStr">
        <is>
          <t>Services &amp; Commercial</t>
        </is>
      </c>
      <c r="B75" s="54" t="inlineStr">
        <is>
          <t>Pilot Programs</t>
        </is>
      </c>
      <c r="C75" s="53" t="inlineStr">
        <is>
          <t>Time-boxed proof with clear success criteria — write-back still out of base.</t>
        </is>
      </c>
      <c r="D75" s="53" t="inlineStr">
        <is>
          <t>Pre-packaged 90–180 day pilots for Small City, County, Command, and Enterprise profiles (see Pilot Programs sheet). Pilots should prove intake, transcription, supervisor value, and (if scoped) read-only CAD — not full write-back. Always define success metrics and conversion path to annual subscription.</t>
        </is>
      </c>
      <c r="E75" s="53" t="inlineStr">
        <is>
          <t>First-time agencies and grant-funded trials</t>
        </is>
      </c>
      <c r="F75" s="53" t="inlineStr">
        <is>
          <t>Sell the outcome checklist, not unlimited sandbox time. Protect write-back exclusion in writing.</t>
        </is>
      </c>
      <c r="G75" s="53" t="inlineStr">
        <is>
          <t>Not a free forever plan; not full CAD write-back</t>
        </is>
      </c>
      <c r="H75" s="53" t="inlineStr">
        <is>
          <t>Pilot Programs</t>
        </is>
      </c>
    </row>
    <row r="76" ht="78" customHeight="1" s="164">
      <c r="A76" s="51" t="inlineStr">
        <is>
          <t>Services &amp; Commercial</t>
        </is>
      </c>
      <c r="B76" s="52" t="inlineStr">
        <is>
          <t>Setup / Implementation</t>
        </is>
      </c>
      <c r="C76" s="51" t="inlineStr">
        <is>
          <t>One-time work to configure the agency correctly before go-live.</t>
        </is>
      </c>
      <c r="D76" s="51" t="inlineStr">
        <is>
          <t>Plan-tiered one-time implementation fees covering environment setup, role configuration, basic integrations assistance, and go-live prep. Vertical sheets have their own implementation bands. Do not under-scope multi-site or multi-CAD work into Essential setup numbers.</t>
        </is>
      </c>
      <c r="E76" s="51" t="inlineStr">
        <is>
          <t>All paying agencies</t>
        </is>
      </c>
      <c r="F76" s="51" t="inlineStr">
        <is>
          <t>Put setup on every quote. Expand when discovery finds complexity.</t>
        </is>
      </c>
      <c r="G76" s="51" t="inlineStr">
        <is>
          <t>Not ongoing support; not onsite travel (bill travel separately)</t>
        </is>
      </c>
      <c r="H76" s="51" t="inlineStr">
        <is>
          <t>Essential–Enterprise / vertical sheets</t>
        </is>
      </c>
    </row>
    <row r="77" ht="78" customHeight="1" s="164">
      <c r="A77" s="53" t="inlineStr">
        <is>
          <t>Services &amp; Commercial</t>
        </is>
      </c>
      <c r="B77" s="54" t="inlineStr">
        <is>
          <t>Onsite Deployment Services</t>
        </is>
      </c>
      <c r="C77" s="53" t="inlineStr">
        <is>
          <t>Experts in the room for discovery, go-live, and floor support.</t>
        </is>
      </c>
      <c r="D77" s="53" t="inlineStr">
        <is>
          <t>Day-rate style onsite packages: discovery visit, installation support, pilot launch, production go-live, CAD vendor workshops, dispatcher floor support, executive briefings, AARs. Travel always separate at GSA-aligned policy — never bury travel in a fixed project price without a travel assumption.</t>
        </is>
      </c>
      <c r="E77" s="53" t="inlineStr">
        <is>
          <t>Complex rollouts, political go-lives, limited internal IT</t>
        </is>
      </c>
      <c r="F77" s="53" t="inlineStr">
        <is>
          <t>Recommend floor support for the first 48 hours of production. Scope travel explicitly.</t>
        </is>
      </c>
      <c r="G77" s="53" t="inlineStr">
        <is>
          <t>Not included travel; not unlimited change orders</t>
        </is>
      </c>
      <c r="H77" s="53" t="inlineStr">
        <is>
          <t>Onsite Services</t>
        </is>
      </c>
    </row>
    <row r="78" ht="65" customHeight="1" s="164">
      <c r="A78" s="51" t="inlineStr">
        <is>
          <t>Services &amp; Commercial</t>
        </is>
      </c>
      <c r="B78" s="52" t="inlineStr">
        <is>
          <t>Training Packages</t>
        </is>
      </c>
      <c r="C78" s="51" t="inlineStr">
        <is>
          <t>Protect adoption — train dispatchers, supervisors, and trainers.</t>
        </is>
      </c>
      <c r="D78" s="51" t="inlineStr">
        <is>
          <t>Remote and onsite training for admin, dispatcher, and supervisor roles; train-the-trainer and custom materials for Command/Enterprise. Training prevents ‘we bought it but nobody uses it.’ Train-the-Trainer is high-margin and creates champions.</t>
        </is>
      </c>
      <c r="E78" s="51" t="inlineStr">
        <is>
          <t>Training officers, agency admins</t>
        </is>
      </c>
      <c r="F78" s="51" t="inlineStr">
        <is>
          <t>Always attach training to Professional+ and vertical launches.</t>
        </is>
      </c>
      <c r="G78" s="51" t="inlineStr">
        <is>
          <t>Not a college accredited course; refresher is a separate annual SKU</t>
        </is>
      </c>
      <c r="H78" s="51" t="inlineStr">
        <is>
          <t>Training</t>
        </is>
      </c>
    </row>
    <row r="79" ht="91" customHeight="1" s="164">
      <c r="A79" s="53" t="inlineStr">
        <is>
          <t>Services &amp; Commercial</t>
        </is>
      </c>
      <c r="B79" s="54" t="inlineStr">
        <is>
          <t>Support Packages (Standard → Mission-Critical / Dedicated)</t>
        </is>
      </c>
      <c r="C79" s="53" t="inlineStr">
        <is>
          <t>Match support intensity to operational criticality.</t>
        </is>
      </c>
      <c r="D79" s="53" t="inlineStr">
        <is>
          <t>Standard is baseline. Priority is included on Professional — be clear when Mission-Critical is the upsell. Dedicated engineer, CSM, and solution architect are for Command/Enterprise and politically sensitive accounts. Mission-Critical recommended for Command, Enterprise, and agencies in active major-incident posture.</t>
        </is>
      </c>
      <c r="E79" s="53" t="inlineStr">
        <is>
          <t>Agency admins; executive sponsors on large deals</t>
        </is>
      </c>
      <c r="F79" s="53" t="inlineStr">
        <is>
          <t>Don’t oversell Standard on Command deals. Offer CSM when expansion revenue is expected.</t>
        </is>
      </c>
      <c r="G79" s="53" t="inlineStr">
        <is>
          <t>Not custom software development hours</t>
        </is>
      </c>
      <c r="H79" s="53" t="inlineStr">
        <is>
          <t>Support</t>
        </is>
      </c>
    </row>
    <row r="80" ht="78" customHeight="1" s="164">
      <c r="A80" s="51" t="inlineStr">
        <is>
          <t>Services &amp; Commercial</t>
        </is>
      </c>
      <c r="B80" s="52" t="inlineStr">
        <is>
          <t>Storage &amp; Overages / Seat Overages</t>
        </is>
      </c>
      <c r="C80" s="51" t="inlineStr">
        <is>
          <t>Overage math when the agency grows past included seats or media limits.</t>
        </is>
      </c>
      <c r="D80" s="51" t="inlineStr">
        <is>
          <t>Each plan includes seat bands and media/storage limits. Seat overages (dispatcher vs admin/supervisor) and storage overages are billed monthly when exceeded. Use these to keep base price clean while giving finance a growth path. See Storage Overages and plan sheets.</t>
        </is>
      </c>
      <c r="E80" s="51" t="inlineStr">
        <is>
          <t>Agency finance + admins</t>
        </is>
      </c>
      <c r="F80" s="51" t="inlineStr">
        <is>
          <t>Model growth seats in Quote Builder. Don’t hide overage rates.</t>
        </is>
      </c>
      <c r="G80" s="51" t="inlineStr">
        <is>
          <t>Not unlimited usage at base price</t>
        </is>
      </c>
      <c r="H80" s="51" t="inlineStr">
        <is>
          <t>Storage Overages / plan sheets</t>
        </is>
      </c>
    </row>
    <row r="81">
      <c r="A81" s="194" t="inlineStr">
        <is>
          <t xml:space="preserve">  FREE STRATEGIC OFFERINGS</t>
        </is>
      </c>
    </row>
    <row r="82" ht="91" customHeight="1" s="164">
      <c r="A82" s="53" t="inlineStr">
        <is>
          <t>Free Strategic Offerings</t>
        </is>
      </c>
      <c r="B82" s="54" t="inlineStr">
        <is>
          <t>NexCort iQ Community Connect</t>
        </is>
      </c>
      <c r="C82" s="53" t="inlineStr">
        <is>
          <t>Permanent free one-zone tip QR for qualifying campus/venue prospects.</t>
        </is>
      </c>
      <c r="D82" s="53" t="inlineStr">
        <is>
          <t>Complimentary land-and-expand wedge: one QR code, one physical zone, tips to a designated email. No dispatcher console, analytics, two-way chat, AI, or Clery log. Use to prove reporting adoption, then upsell full tip console, multi-zone QR/NFC, and analytics. Qualifying institutions only — not a general public free tier.</t>
        </is>
      </c>
      <c r="E82" s="53" t="inlineStr">
        <is>
          <t>Campus and venue prospects early in the funnel</t>
        </is>
      </c>
      <c r="F82" s="53" t="inlineStr">
        <is>
          <t>Always attach a 60–90 day upsell conversation. Track tip volume as the proof.</t>
        </is>
      </c>
      <c r="G82" s="53" t="inlineStr">
        <is>
          <t>Not the full Campus/Venue product; not PSAP 911</t>
        </is>
      </c>
      <c r="H82" s="53" t="inlineStr">
        <is>
          <t>Sales enablement (no price sheet)</t>
        </is>
      </c>
    </row>
    <row r="83" ht="91" customHeight="1" s="164">
      <c r="A83" s="51" t="inlineStr">
        <is>
          <t>Free Strategic Offerings</t>
        </is>
      </c>
      <c r="B83" s="52" t="inlineStr">
        <is>
          <t>Complimentary Operational Intelligence Report</t>
        </is>
      </c>
      <c r="C83" s="51" t="inlineStr">
        <is>
          <t>One-time PDF from 30–60 days of anonymized CAD export — discovery accelerator.</t>
        </is>
      </c>
      <c r="D83" s="51" t="inlineStr">
        <is>
          <t>Prospect provides anonymized CAD export (call type, timestamp, duration — no PII). NexCort returns a short operational intelligence PDF (volume by hour, mix, language share, peaks). Limited availability — treat as a discovery accelerator for PSAP directors/IT sponsors, not a standing freebie on every deal.</t>
        </is>
      </c>
      <c r="E83" s="51" t="inlineStr">
        <is>
          <t>PSAP directors and IT sponsors pre-pilot</t>
        </is>
      </c>
      <c r="F83" s="51" t="inlineStr">
        <is>
          <t>Trade the report for a scheduled discovery workshop.</t>
        </is>
      </c>
      <c r="G83" s="51" t="inlineStr">
        <is>
          <t>Not a continuous BI subscription; not identified caller analytics</t>
        </is>
      </c>
      <c r="H83" s="51" t="inlineStr">
        <is>
          <t>Sales enablement (no price sheet)</t>
        </is>
      </c>
    </row>
    <row r="84" ht="91" customHeight="1" s="164">
      <c r="A84" s="53" t="inlineStr">
        <is>
          <t>Free Strategic Offerings</t>
        </is>
      </c>
      <c r="B84" s="54" t="inlineStr">
        <is>
          <t>NexCort iQ Wellness</t>
        </is>
      </c>
      <c r="C84" s="53" t="inlineStr">
        <is>
          <t>Anonymous end-of-shift check-in for dispatchers — aggregate only for supervisors.</t>
        </is>
      </c>
      <c r="D84" s="53" t="inlineStr">
        <is>
          <t>Permanent free wellness check-in for accredited PSAPs. Supervisors see aggregate trends only — never individual responses, call data, or transcripts. No CJIS exposure. Position as workforce retention / duty-of-care goodwill that builds relationship without requiring a full platform purchase.</t>
        </is>
      </c>
      <c r="E84" s="53" t="inlineStr">
        <is>
          <t>PSAP directors and wellness/peer-support champions</t>
        </is>
      </c>
      <c r="F84" s="53" t="inlineStr">
        <is>
          <t>Offer alongside Professional conversations as culture signal — not as a discount lever on paid SKUs.</t>
        </is>
      </c>
      <c r="G84" s="53" t="inlineStr">
        <is>
          <t>Not clinical mental health care; not individual surveillance of dispatchers</t>
        </is>
      </c>
      <c r="H84" s="53" t="inlineStr">
        <is>
          <t>Sales enablement (no price sheet)</t>
        </is>
      </c>
    </row>
    <row r="85">
      <c r="A85" s="194" t="inlineStr">
        <is>
          <t xml:space="preserve">  INTERNAL — DO NOT SELL</t>
        </is>
      </c>
    </row>
    <row r="86" ht="78" customHeight="1" s="164">
      <c r="A86" s="51" t="inlineStr">
        <is>
          <t>Internal — Do Not Sell</t>
        </is>
      </c>
      <c r="B86" s="52" t="inlineStr">
        <is>
          <t>NexiQ Sales &amp; RFP Intelligence</t>
        </is>
      </c>
      <c r="C86" s="51" t="inlineStr">
        <is>
          <t>Internal PSAP/RFP signal tool for NexCort sales teams only.</t>
        </is>
      </c>
      <c r="D86" s="51" t="inlineStr">
        <is>
          <t>Internal sales-intelligence workspace for NexCort sales contractors and RC operators (RFP/PSAP signals, enrichment, scoring). Not an agency-facing SKU. Do not present it in customer proposals or imply agencies are buying ‘NexiQ intelligence’ as a product.</t>
        </is>
      </c>
      <c r="E86" s="51" t="inlineStr">
        <is>
          <t>NexCort internal sales only</t>
        </is>
      </c>
      <c r="F86" s="51" t="inlineStr">
        <is>
          <t>Never quote to a customer. Keep inside sales portal / RC Admin allowlists.</t>
        </is>
      </c>
      <c r="G86" s="51" t="inlineStr">
        <is>
          <t>Not a customer deliverable</t>
        </is>
      </c>
      <c r="H86" s="51" t="inlineStr">
        <is>
          <t>Internal only</t>
        </is>
      </c>
    </row>
    <row r="87" ht="50" customHeight="1" s="164">
      <c r="A87" s="59" t="inlineStr">
        <is>
          <t>⚠  INTERNAL USE ONLY — Sales language for enablement. Do not paste wholesale into public RFP responses without review. CAD write-back stays fail-closed. NexIQ Vision™ / Call Assist / Vault / mesh are never free. Do not sell NexiQ Sales &amp; RFP Intelligence to agencies. Source alignment: addon-catalog + sales-feature-catalog + pricing sheets (Oct 2026).</t>
        </is>
      </c>
    </row>
  </sheetData>
  <autoFilter ref="A5:H90"/>
  <mergeCells count="21">
    <mergeCell ref="A39:H39"/>
    <mergeCell ref="A59:H59"/>
    <mergeCell ref="A24:H24"/>
    <mergeCell ref="A11:H11"/>
    <mergeCell ref="A45:H45"/>
    <mergeCell ref="A1:H1"/>
    <mergeCell ref="A6:H6"/>
    <mergeCell ref="A87:H87"/>
    <mergeCell ref="A65:H65"/>
    <mergeCell ref="A74:H74"/>
    <mergeCell ref="A50:H50"/>
    <mergeCell ref="A3:H3"/>
    <mergeCell ref="A55:H55"/>
    <mergeCell ref="A2:H2"/>
    <mergeCell ref="A85:H85"/>
    <mergeCell ref="A33:H33"/>
    <mergeCell ref="A17:H17"/>
    <mergeCell ref="A4:H4"/>
    <mergeCell ref="A81:H81"/>
    <mergeCell ref="A28:H28"/>
    <mergeCell ref="A68:H68"/>
  </mergeCells>
  <pageMargins left="0.25" right="0.25" top="0.75" bottom="0.75" header="0.3" footer="0.3"/>
  <pageSetup orientation="landscape" horizontalDpi="0" verticalDpi="0"/>
</worksheet>
</file>

<file path=xl/worksheets/sheet3.xml><?xml version="1.0" encoding="utf-8"?>
<worksheet xmlns="http://schemas.openxmlformats.org/spreadsheetml/2006/main">
  <sheetPr>
    <outlinePr summaryBelow="1" summaryRight="1"/>
    <pageSetUpPr/>
  </sheetPr>
  <dimension ref="A1:H58"/>
  <sheetViews>
    <sheetView showGridLines="0" zoomScaleNormal="100" workbookViewId="0">
      <pane ySplit="4" topLeftCell="A25" activePane="bottomLeft" state="frozen"/>
      <selection pane="bottomLeft" activeCell="A1" sqref="A1:H1"/>
    </sheetView>
  </sheetViews>
  <sheetFormatPr baseColWidth="10" defaultColWidth="8.6640625" defaultRowHeight="15"/>
  <cols>
    <col width="40" customWidth="1" style="164" min="1" max="1"/>
    <col width="20" customWidth="1" style="164" min="2" max="6"/>
    <col width="22" customWidth="1" style="164" min="7" max="8"/>
  </cols>
  <sheetData>
    <row r="1" ht="30" customHeight="1" s="164">
      <c r="A1" s="73" t="inlineStr">
        <is>
          <t>NEXCORT IQ — INTERNAL PRICING GUIDE</t>
        </is>
      </c>
    </row>
    <row r="2" ht="24" customHeight="1" s="164">
      <c r="A2" s="78" t="inlineStr">
        <is>
          <t>NEXCORT IQ ESSENTIAL</t>
        </is>
      </c>
    </row>
    <row r="3" ht="18" customHeight="1" s="164">
      <c r="A3" s="74" t="inlineStr">
        <is>
          <t>Small municipalities · Single-site PSAPs · Pilot deployments · Up to 10 dispatcher seats</t>
        </is>
      </c>
    </row>
    <row r="5" ht="19.5" customHeight="1" s="164">
      <c r="A5" s="77" t="inlineStr">
        <is>
          <t xml:space="preserve">  BASE SUBSCRIPTION FEES</t>
        </is>
      </c>
    </row>
    <row r="6" ht="31.5" customHeight="1" s="164">
      <c r="A6" s="3" t="inlineStr">
        <is>
          <t>Item</t>
        </is>
      </c>
      <c r="B6" s="3" t="inlineStr">
        <is>
          <t>Tier 1 Micro</t>
        </is>
      </c>
      <c r="C6" s="3" t="inlineStr">
        <is>
          <t>Tier 2 Small</t>
        </is>
      </c>
      <c r="D6" s="3" t="inlineStr">
        <is>
          <t>Tier 3 Medium</t>
        </is>
      </c>
      <c r="E6" s="3" t="inlineStr">
        <is>
          <t>Tier 4 Large</t>
        </is>
      </c>
      <c r="F6" s="3" t="inlineStr">
        <is>
          <t>Range (docx)</t>
        </is>
      </c>
      <c r="G6" s="3" t="inlineStr">
        <is>
          <t>Notes</t>
        </is>
      </c>
      <c r="H6" s="3" t="n"/>
    </row>
    <row r="7" ht="15.75" customHeight="1" s="164">
      <c r="A7" s="4" t="inlineStr">
        <is>
          <t>Seats</t>
        </is>
      </c>
      <c r="B7" s="5" t="inlineStr">
        <is>
          <t>1–3</t>
        </is>
      </c>
      <c r="C7" s="5" t="inlineStr">
        <is>
          <t>4–6</t>
        </is>
      </c>
      <c r="D7" s="5" t="inlineStr">
        <is>
          <t>7–8</t>
        </is>
      </c>
      <c r="E7" s="5" t="inlineStr">
        <is>
          <t>9–10</t>
        </is>
      </c>
      <c r="F7" s="5" t="inlineStr">
        <is>
          <t>1–10</t>
        </is>
      </c>
      <c r="G7" s="5" t="n"/>
    </row>
    <row r="8" ht="15.75" customHeight="1" s="164">
      <c r="A8" s="6" t="inlineStr">
        <is>
          <t>Call Volume / Month</t>
        </is>
      </c>
      <c r="B8" s="7" t="inlineStr">
        <is>
          <t>&lt;2,000</t>
        </is>
      </c>
      <c r="C8" s="7" t="inlineStr">
        <is>
          <t>2K–3.5K</t>
        </is>
      </c>
      <c r="D8" s="7" t="inlineStr">
        <is>
          <t>3.5K–4.5K</t>
        </is>
      </c>
      <c r="E8" s="7" t="inlineStr">
        <is>
          <t>4.5K–5K</t>
        </is>
      </c>
      <c r="F8" s="7" t="inlineStr">
        <is>
          <t>Varies</t>
        </is>
      </c>
      <c r="G8" s="7" t="n"/>
    </row>
    <row r="9" ht="15.75" customHeight="1" s="164">
      <c r="A9" s="4" t="inlineStr">
        <is>
          <t>Monthly Fee</t>
        </is>
      </c>
      <c r="B9" s="9" t="n">
        <v>2800</v>
      </c>
      <c r="C9" s="9" t="n">
        <v>4200</v>
      </c>
      <c r="D9" s="9" t="n">
        <v>5400</v>
      </c>
      <c r="E9" s="9" t="n">
        <v>6000</v>
      </c>
      <c r="F9" s="5" t="inlineStr">
        <is>
          <t>$3,500–$7,500</t>
        </is>
      </c>
      <c r="G9" s="5" t="inlineStr">
        <is>
          <t>Inputs in blue</t>
        </is>
      </c>
    </row>
    <row r="10" ht="15.75" customHeight="1" s="164">
      <c r="A10" s="6" t="inlineStr">
        <is>
          <t>Annual Fee</t>
        </is>
      </c>
      <c r="B10" s="7">
        <f>IFERROR(B8*12,"—")</f>
        <v/>
      </c>
      <c r="C10" s="7">
        <f>IFERROR(C8*12,"—")</f>
        <v/>
      </c>
      <c r="D10" s="7">
        <f>IFERROR(D8*12,"—")</f>
        <v/>
      </c>
      <c r="E10" s="7">
        <f>IFERROR(E8*12,"—")</f>
        <v/>
      </c>
      <c r="F10" s="7" t="inlineStr">
        <is>
          <t>$42K–$90K</t>
        </is>
      </c>
      <c r="G10" s="7" t="inlineStr">
        <is>
          <t>Auto-calculated</t>
        </is>
      </c>
    </row>
    <row r="11" ht="15.75" customHeight="1" s="164">
      <c r="A11" s="4" t="inlineStr">
        <is>
          <t>Recommended Pilot (90-day)</t>
        </is>
      </c>
      <c r="B11" s="9" t="n">
        <v>25000</v>
      </c>
      <c r="C11" s="9" t="n">
        <v>30000</v>
      </c>
      <c r="D11" s="9" t="n">
        <v>37500</v>
      </c>
      <c r="E11" s="9" t="n">
        <v>50000</v>
      </c>
      <c r="F11" s="5" t="inlineStr">
        <is>
          <t>$25K–$50K</t>
        </is>
      </c>
      <c r="G11" s="5" t="n"/>
    </row>
    <row r="12" ht="15.75" customHeight="1" s="164">
      <c r="A12" s="6" t="inlineStr">
        <is>
          <t>Setup / Implementation</t>
        </is>
      </c>
      <c r="B12" s="10" t="n">
        <v>10000</v>
      </c>
      <c r="C12" s="10" t="n">
        <v>15000</v>
      </c>
      <c r="D12" s="10" t="n">
        <v>20000</v>
      </c>
      <c r="E12" s="10" t="n">
        <v>25000</v>
      </c>
      <c r="F12" s="7" t="inlineStr">
        <is>
          <t>$10K–$25K</t>
        </is>
      </c>
      <c r="G12" s="7" t="inlineStr">
        <is>
          <t>One-time</t>
        </is>
      </c>
    </row>
    <row r="13" ht="7.5" customHeight="1" s="164">
      <c r="A13" s="67" t="n"/>
    </row>
    <row r="14" ht="19.5" customHeight="1" s="164">
      <c r="A14" s="77" t="inlineStr">
        <is>
          <t xml:space="preserve">  SEAT OVERAGE PRICING</t>
        </is>
      </c>
    </row>
    <row r="15" ht="31.5" customHeight="1" s="164">
      <c r="A15" s="3" t="inlineStr">
        <is>
          <t>Seat Type</t>
        </is>
      </c>
      <c r="B15" s="3" t="inlineStr">
        <is>
          <t>Included in Base</t>
        </is>
      </c>
      <c r="C15" s="3" t="inlineStr">
        <is>
          <t>Overage Rate / Month</t>
        </is>
      </c>
      <c r="D15" s="3" t="inlineStr">
        <is>
          <t>Notes</t>
        </is>
      </c>
      <c r="E15" s="3" t="n"/>
      <c r="F15" s="3" t="n"/>
      <c r="G15" s="3" t="n"/>
      <c r="H15" s="3" t="n"/>
    </row>
    <row r="16" ht="15.75" customHeight="1" s="164">
      <c r="A16" s="4" t="inlineStr">
        <is>
          <t>Dispatcher Seats</t>
        </is>
      </c>
      <c r="B16" s="5" t="inlineStr">
        <is>
          <t>Up to 10</t>
        </is>
      </c>
      <c r="C16" s="5" t="inlineStr">
        <is>
          <t>$150 / seat / month</t>
        </is>
      </c>
      <c r="D16" s="5" t="inlineStr">
        <is>
          <t>Seats 11+</t>
        </is>
      </c>
      <c r="E16" s="5" t="n"/>
      <c r="F16" s="5" t="n"/>
      <c r="G16" s="5" t="n"/>
      <c r="H16" s="5" t="n"/>
    </row>
    <row r="17" ht="15.75" customHeight="1" s="164">
      <c r="A17" s="6" t="inlineStr">
        <is>
          <t>Admin / Supervisor Seats</t>
        </is>
      </c>
      <c r="B17" s="7" t="inlineStr">
        <is>
          <t>Up to 3</t>
        </is>
      </c>
      <c r="C17" s="7" t="inlineStr">
        <is>
          <t>$100 / seat / month</t>
        </is>
      </c>
      <c r="D17" s="7" t="inlineStr">
        <is>
          <t>Seats 4+</t>
        </is>
      </c>
      <c r="E17" s="7" t="n"/>
      <c r="F17" s="7" t="n"/>
      <c r="G17" s="7" t="n"/>
      <c r="H17" s="7" t="n"/>
    </row>
    <row r="18" ht="7.5" customHeight="1" s="164">
      <c r="A18" s="67" t="n"/>
    </row>
    <row r="19" ht="19.5" customHeight="1" s="164">
      <c r="A19" s="77" t="inlineStr">
        <is>
          <t xml:space="preserve">  INCLUDED CAPABILITIES</t>
        </is>
      </c>
    </row>
    <row r="20" ht="31.5" customHeight="1" s="164">
      <c r="A20" s="3" t="inlineStr">
        <is>
          <t>Capability</t>
        </is>
      </c>
      <c r="B20" s="3" t="inlineStr">
        <is>
          <t>Included?</t>
        </is>
      </c>
      <c r="C20" s="3" t="inlineStr">
        <is>
          <t>Notes</t>
        </is>
      </c>
      <c r="D20" s="3" t="n"/>
      <c r="E20" s="3" t="n"/>
      <c r="F20" s="3" t="n"/>
      <c r="G20" s="3" t="n"/>
      <c r="H20" s="3" t="n"/>
    </row>
    <row r="21" ht="15.75" customHeight="1" s="164">
      <c r="A21" s="4" t="inlineStr">
        <is>
          <t>Web Application Access</t>
        </is>
      </c>
      <c r="B21" s="11" t="inlineStr">
        <is>
          <t>Yes</t>
        </is>
      </c>
      <c r="C21" s="5" t="n"/>
      <c r="D21" s="5" t="n"/>
      <c r="E21" s="5" t="n"/>
      <c r="F21" s="5" t="n"/>
      <c r="G21" s="5" t="n"/>
      <c r="H21" s="5" t="n"/>
    </row>
    <row r="22" ht="15.75" customHeight="1" s="164">
      <c r="A22" s="6" t="inlineStr">
        <is>
          <t>Desktop Application Access</t>
        </is>
      </c>
      <c r="B22" s="12" t="inlineStr">
        <is>
          <t>Yes</t>
        </is>
      </c>
      <c r="C22" s="7" t="inlineStr">
        <is>
          <t>Windows &amp; Mac</t>
        </is>
      </c>
      <c r="D22" s="7" t="n"/>
      <c r="E22" s="7" t="n"/>
      <c r="F22" s="7" t="n"/>
      <c r="G22" s="7" t="n"/>
      <c r="H22" s="7" t="n"/>
    </row>
    <row r="23" ht="15.75" customHeight="1" s="164">
      <c r="A23" s="4" t="inlineStr">
        <is>
          <t>Role-Based Access Control (RBAC)</t>
        </is>
      </c>
      <c r="B23" s="11" t="inlineStr">
        <is>
          <t>Yes</t>
        </is>
      </c>
      <c r="C23" s="5" t="n"/>
      <c r="D23" s="5" t="n"/>
      <c r="E23" s="5" t="n"/>
      <c r="F23" s="5" t="n"/>
      <c r="G23" s="5" t="n"/>
      <c r="H23" s="5" t="n"/>
    </row>
    <row r="24" ht="15.75" customHeight="1" s="164">
      <c r="A24" s="6" t="inlineStr">
        <is>
          <t>Agency Admin Console</t>
        </is>
      </c>
      <c r="B24" s="12" t="inlineStr">
        <is>
          <t>Yes</t>
        </is>
      </c>
      <c r="C24" s="7" t="n"/>
      <c r="D24" s="7" t="n"/>
      <c r="E24" s="7" t="n"/>
      <c r="F24" s="7" t="n"/>
      <c r="G24" s="7" t="n"/>
      <c r="H24" s="7" t="n"/>
    </row>
    <row r="25" ht="15.75" customHeight="1" s="164">
      <c r="A25" s="4" t="inlineStr">
        <is>
          <t>Core Reporting</t>
        </is>
      </c>
      <c r="B25" s="11" t="inlineStr">
        <is>
          <t>Yes</t>
        </is>
      </c>
      <c r="C25" s="5" t="n"/>
      <c r="D25" s="5" t="n"/>
      <c r="E25" s="5" t="n"/>
      <c r="F25" s="5" t="n"/>
      <c r="G25" s="5" t="n"/>
      <c r="H25" s="5" t="n"/>
    </row>
    <row r="26" ht="15.75" customHeight="1" s="164">
      <c r="A26" s="6" t="inlineStr">
        <is>
          <t>Audit Logs</t>
        </is>
      </c>
      <c r="B26" s="12" t="inlineStr">
        <is>
          <t>Yes</t>
        </is>
      </c>
      <c r="C26" s="7" t="inlineStr">
        <is>
          <t>CJIS-aware retention</t>
        </is>
      </c>
      <c r="D26" s="7" t="n"/>
      <c r="E26" s="7" t="n"/>
      <c r="F26" s="7" t="n"/>
      <c r="G26" s="7" t="n"/>
      <c r="H26" s="7" t="n"/>
    </row>
    <row r="27" ht="15.75" customHeight="1" s="164">
      <c r="A27" s="4" t="inlineStr">
        <is>
          <t>AI-Assisted Intake</t>
        </is>
      </c>
      <c r="B27" s="11" t="inlineStr">
        <is>
          <t>Yes</t>
        </is>
      </c>
      <c r="C27" s="5" t="n"/>
      <c r="D27" s="5" t="n"/>
      <c r="E27" s="5" t="n"/>
      <c r="F27" s="5" t="n"/>
      <c r="G27" s="5" t="n"/>
      <c r="H27" s="5" t="n"/>
    </row>
    <row r="28" ht="15.75" customHeight="1" s="164">
      <c r="A28" s="6" t="inlineStr">
        <is>
          <t>Live Transcription</t>
        </is>
      </c>
      <c r="B28" s="12" t="inlineStr">
        <is>
          <t>Yes</t>
        </is>
      </c>
      <c r="C28" s="7" t="n"/>
      <c r="D28" s="7" t="n"/>
      <c r="E28" s="7" t="n"/>
      <c r="F28" s="7" t="n"/>
      <c r="G28" s="7" t="n"/>
      <c r="H28" s="7" t="n"/>
    </row>
    <row r="29" ht="15.75" customHeight="1" s="164">
      <c r="A29" s="4" t="inlineStr">
        <is>
          <t>Call Triage Workflows</t>
        </is>
      </c>
      <c r="B29" s="11" t="inlineStr">
        <is>
          <t>Yes</t>
        </is>
      </c>
      <c r="C29" s="5" t="n"/>
      <c r="D29" s="5" t="n"/>
      <c r="E29" s="5" t="n"/>
      <c r="F29" s="5" t="n"/>
      <c r="G29" s="5" t="n"/>
      <c r="H29" s="5" t="n"/>
    </row>
    <row r="30" ht="15.75" customHeight="1" s="164">
      <c r="A30" s="6" t="inlineStr">
        <is>
          <t>Call / Session History</t>
        </is>
      </c>
      <c r="B30" s="12" t="inlineStr">
        <is>
          <t>Yes</t>
        </is>
      </c>
      <c r="C30" s="7" t="n"/>
      <c r="D30" s="7" t="n"/>
      <c r="E30" s="7" t="n"/>
      <c r="F30" s="7" t="n"/>
      <c r="G30" s="7" t="n"/>
      <c r="H30" s="7" t="n"/>
    </row>
    <row r="31" ht="15.75" customHeight="1" s="164">
      <c r="A31" s="4" t="inlineStr">
        <is>
          <t>Active Incident View</t>
        </is>
      </c>
      <c r="B31" s="11" t="inlineStr">
        <is>
          <t>Yes</t>
        </is>
      </c>
      <c r="C31" s="5" t="n"/>
      <c r="D31" s="5" t="n"/>
      <c r="E31" s="5" t="n"/>
      <c r="F31" s="5" t="n"/>
      <c r="G31" s="5" t="n"/>
      <c r="H31" s="5" t="n"/>
    </row>
    <row r="32" ht="15.75" customHeight="1" s="164">
      <c r="A32" s="6" t="inlineStr">
        <is>
          <t>Dispatcher Console</t>
        </is>
      </c>
      <c r="B32" s="13" t="inlineStr">
        <is>
          <t>Limited</t>
        </is>
      </c>
      <c r="C32" s="7" t="inlineStr">
        <is>
          <t>Full in Professional+</t>
        </is>
      </c>
      <c r="D32" s="7" t="n"/>
      <c r="E32" s="7" t="n"/>
      <c r="F32" s="7" t="n"/>
      <c r="G32" s="7" t="n"/>
      <c r="H32" s="7" t="n"/>
    </row>
    <row r="33" ht="15.75" customHeight="1" s="164">
      <c r="A33" s="4" t="inlineStr">
        <is>
          <t>Multilingual Intake</t>
        </is>
      </c>
      <c r="B33" s="14" t="inlineStr">
        <is>
          <t>Limited</t>
        </is>
      </c>
      <c r="C33" s="5" t="inlineStr">
        <is>
          <t>Upgrade for full translation</t>
        </is>
      </c>
      <c r="D33" s="5" t="n"/>
      <c r="E33" s="5" t="n"/>
      <c r="F33" s="5" t="n"/>
      <c r="G33" s="5" t="n"/>
      <c r="H33" s="5" t="n"/>
    </row>
    <row r="34" ht="15.75" customHeight="1" s="164">
      <c r="A34" s="6" t="inlineStr">
        <is>
          <t>Language Auto-Detection</t>
        </is>
      </c>
      <c r="B34" s="13" t="inlineStr">
        <is>
          <t>Limited</t>
        </is>
      </c>
      <c r="C34" s="7" t="n"/>
      <c r="D34" s="7" t="n"/>
      <c r="E34" s="7" t="n"/>
      <c r="F34" s="7" t="n"/>
      <c r="G34" s="7" t="n"/>
      <c r="H34" s="7" t="n"/>
    </row>
    <row r="35" ht="15.75" customHeight="1" s="164">
      <c r="A35" s="4" t="inlineStr">
        <is>
          <t>QA Review Tools</t>
        </is>
      </c>
      <c r="B35" s="14" t="inlineStr">
        <is>
          <t>Limited</t>
        </is>
      </c>
      <c r="C35" s="5" t="inlineStr">
        <is>
          <t>Upgrade for full QA suite</t>
        </is>
      </c>
      <c r="D35" s="5" t="n"/>
      <c r="E35" s="5" t="n"/>
      <c r="F35" s="5" t="n"/>
      <c r="G35" s="5" t="n"/>
      <c r="H35" s="5" t="n"/>
    </row>
    <row r="36" ht="15.75" customHeight="1" s="164">
      <c r="A36" s="6" t="inlineStr">
        <is>
          <t>Incident Timeline Reconstruction</t>
        </is>
      </c>
      <c r="B36" s="13" t="inlineStr">
        <is>
          <t>Limited</t>
        </is>
      </c>
      <c r="C36" s="7" t="n"/>
      <c r="D36" s="7" t="n"/>
      <c r="E36" s="7" t="n"/>
      <c r="F36" s="7" t="n"/>
      <c r="G36" s="7" t="n"/>
      <c r="H36" s="7" t="n"/>
    </row>
    <row r="37" ht="15.75" customHeight="1" s="164">
      <c r="A37" s="4" t="inlineStr">
        <is>
          <t>Standard Onboarding</t>
        </is>
      </c>
      <c r="B37" s="11" t="inlineStr">
        <is>
          <t>Yes</t>
        </is>
      </c>
      <c r="C37" s="5" t="n"/>
      <c r="D37" s="5" t="n"/>
      <c r="E37" s="5" t="n"/>
      <c r="F37" s="5" t="n"/>
      <c r="G37" s="5" t="n"/>
      <c r="H37" s="5" t="n"/>
    </row>
    <row r="38" ht="15.75" customHeight="1" s="164">
      <c r="A38" s="6" t="inlineStr">
        <is>
          <t>Integration Assistance</t>
        </is>
      </c>
      <c r="B38" s="13" t="inlineStr">
        <is>
          <t>Limited</t>
        </is>
      </c>
      <c r="C38" s="7" t="n"/>
      <c r="D38" s="7" t="n"/>
      <c r="E38" s="7" t="n"/>
      <c r="F38" s="7" t="n"/>
      <c r="G38" s="7" t="n"/>
      <c r="H38" s="7" t="n"/>
    </row>
    <row r="39" ht="7.5" customHeight="1" s="164">
      <c r="A39" s="67" t="n"/>
    </row>
    <row r="40" ht="19.5" customHeight="1" s="164">
      <c r="A40" s="77" t="inlineStr">
        <is>
          <t xml:space="preserve">  ESSENTIAL ADD-ON CANDIDATES</t>
        </is>
      </c>
    </row>
    <row r="41" ht="31.5" customHeight="1" s="164">
      <c r="A41" s="3" t="inlineStr">
        <is>
          <t>Add-On</t>
        </is>
      </c>
      <c r="B41" s="3" t="inlineStr">
        <is>
          <t>Price Low / Month</t>
        </is>
      </c>
      <c r="C41" s="3" t="inlineStr">
        <is>
          <t>Price High / Month</t>
        </is>
      </c>
      <c r="D41" s="3" t="inlineStr">
        <is>
          <t>Notes</t>
        </is>
      </c>
      <c r="E41" s="3" t="n"/>
      <c r="F41" s="3" t="n"/>
      <c r="G41" s="3" t="n"/>
      <c r="H41" s="3" t="n"/>
    </row>
    <row r="42" ht="15.75" customHeight="1" s="164">
      <c r="A42" s="4" t="inlineStr">
        <is>
          <t>Live Translation</t>
        </is>
      </c>
      <c r="B42" s="9" t="n">
        <v>1000</v>
      </c>
      <c r="C42" s="9" t="n">
        <v>3000</v>
      </c>
      <c r="D42" s="5" t="n"/>
      <c r="E42" s="5" t="n"/>
      <c r="F42" s="5" t="n"/>
      <c r="G42" s="5" t="n"/>
      <c r="H42" s="5" t="n"/>
    </row>
    <row r="43" ht="15.75" customHeight="1" s="164">
      <c r="A43" s="6" t="inlineStr">
        <is>
          <t>Text-to-Voice Support</t>
        </is>
      </c>
      <c r="B43" s="10" t="n">
        <v>750</v>
      </c>
      <c r="C43" s="10" t="n">
        <v>2500</v>
      </c>
      <c r="D43" s="7" t="n"/>
      <c r="E43" s="7" t="n"/>
      <c r="F43" s="7" t="n"/>
      <c r="G43" s="7" t="n"/>
      <c r="H43" s="7" t="n"/>
    </row>
    <row r="44" ht="15.75" customHeight="1" s="164">
      <c r="A44" s="4" t="inlineStr">
        <is>
          <t>Caller Photo Upload</t>
        </is>
      </c>
      <c r="B44" s="9" t="n">
        <v>500</v>
      </c>
      <c r="C44" s="9" t="n">
        <v>1500</v>
      </c>
      <c r="D44" s="5" t="n"/>
      <c r="E44" s="5" t="n"/>
      <c r="F44" s="5" t="n"/>
      <c r="G44" s="5" t="n"/>
      <c r="H44" s="5" t="n"/>
    </row>
    <row r="45" ht="15.75" customHeight="1" s="164">
      <c r="A45" s="6" t="inlineStr">
        <is>
          <t>Caller Video Upload</t>
        </is>
      </c>
      <c r="B45" s="10" t="n">
        <v>1000</v>
      </c>
      <c r="C45" s="10" t="n">
        <v>3500</v>
      </c>
      <c r="D45" s="7" t="n"/>
      <c r="E45" s="7" t="n"/>
      <c r="F45" s="7" t="n"/>
      <c r="G45" s="7" t="n"/>
      <c r="H45" s="7" t="n"/>
    </row>
    <row r="46" ht="15.75" customHeight="1" s="164">
      <c r="A46" s="4" t="inlineStr">
        <is>
          <t>Live Caller Media Streaming</t>
        </is>
      </c>
      <c r="B46" s="9" t="n">
        <v>2500</v>
      </c>
      <c r="C46" s="9" t="n">
        <v>7500</v>
      </c>
      <c r="D46" s="5" t="inlineStr">
        <is>
          <t>WebRTC</t>
        </is>
      </c>
      <c r="E46" s="5" t="n"/>
      <c r="F46" s="5" t="n"/>
      <c r="G46" s="5" t="n"/>
      <c r="H46" s="5" t="n"/>
    </row>
    <row r="47" ht="15.75" customHeight="1" s="164">
      <c r="A47" s="6" t="inlineStr">
        <is>
          <t>Media Audit Trail</t>
        </is>
      </c>
      <c r="B47" s="10" t="n">
        <v>750</v>
      </c>
      <c r="C47" s="10" t="n">
        <v>2000</v>
      </c>
      <c r="D47" s="7" t="n"/>
      <c r="E47" s="7" t="n"/>
      <c r="F47" s="7" t="n"/>
      <c r="G47" s="7" t="n"/>
      <c r="H47" s="7" t="n"/>
    </row>
    <row r="48" ht="15.75" customHeight="1" s="164">
      <c r="A48" s="4" t="inlineStr">
        <is>
          <t>Scorecards</t>
        </is>
      </c>
      <c r="B48" s="9" t="n">
        <v>500</v>
      </c>
      <c r="C48" s="9" t="n">
        <v>1500</v>
      </c>
      <c r="D48" s="5" t="n"/>
      <c r="E48" s="5" t="n"/>
      <c r="F48" s="5" t="n"/>
      <c r="G48" s="5" t="n"/>
      <c r="H48" s="5" t="n"/>
    </row>
    <row r="49" ht="15.75" customHeight="1" s="164">
      <c r="A49" s="6" t="inlineStr">
        <is>
          <t>Coaching Notes</t>
        </is>
      </c>
      <c r="B49" s="10" t="n">
        <v>500</v>
      </c>
      <c r="C49" s="10" t="n">
        <v>1500</v>
      </c>
      <c r="D49" s="7" t="n"/>
      <c r="E49" s="7" t="n"/>
      <c r="F49" s="7" t="n"/>
      <c r="G49" s="7" t="n"/>
      <c r="H49" s="7" t="n"/>
    </row>
    <row r="50" ht="15.75" customHeight="1" s="164">
      <c r="A50" s="4" t="inlineStr">
        <is>
          <t>Team Dashboards</t>
        </is>
      </c>
      <c r="B50" s="9" t="n">
        <v>750</v>
      </c>
      <c r="C50" s="9" t="n">
        <v>2500</v>
      </c>
      <c r="D50" s="5" t="n"/>
      <c r="E50" s="5" t="n"/>
      <c r="F50" s="5" t="n"/>
      <c r="G50" s="5" t="n"/>
      <c r="H50" s="5" t="n"/>
    </row>
    <row r="51" ht="15.75" customHeight="1" s="164">
      <c r="A51" s="6" t="inlineStr">
        <is>
          <t>Priority Support</t>
        </is>
      </c>
      <c r="B51" s="10" t="n">
        <v>1000</v>
      </c>
      <c r="C51" s="10" t="n">
        <v>3000</v>
      </c>
      <c r="D51" s="7" t="n"/>
      <c r="E51" s="7" t="n"/>
      <c r="F51" s="7" t="n"/>
      <c r="G51" s="7" t="n"/>
      <c r="H51" s="7" t="n"/>
    </row>
    <row r="52" ht="15.75" customHeight="1" s="164">
      <c r="A52" s="4" t="inlineStr">
        <is>
          <t>Dedicated Rollout Planning</t>
        </is>
      </c>
      <c r="B52" s="9" t="n">
        <v>2500</v>
      </c>
      <c r="C52" s="9" t="n">
        <v>7500</v>
      </c>
      <c r="D52" s="5" t="inlineStr">
        <is>
          <t>One-time</t>
        </is>
      </c>
      <c r="E52" s="5" t="n"/>
      <c r="F52" s="5" t="n"/>
      <c r="G52" s="5" t="n"/>
      <c r="H52" s="5" t="n"/>
    </row>
    <row r="53" ht="7.5" customHeight="1" s="164">
      <c r="A53" s="67" t="n"/>
    </row>
    <row r="54" ht="18" customHeight="1" s="164">
      <c r="A54" s="79" t="inlineStr">
        <is>
          <t xml:space="preserve">  SALES POSITIONING — Essential Plan</t>
        </is>
      </c>
    </row>
    <row r="55" ht="15" customHeight="1" s="164">
      <c r="A55" s="75" t="inlineStr">
        <is>
          <t xml:space="preserve">    Low-risk entry point — helps agencies modernize without replacing CAD or committing to full transformation.</t>
        </is>
      </c>
    </row>
    <row r="56" ht="15" customHeight="1" s="164">
      <c r="A56" s="75" t="inlineStr">
        <is>
          <t xml:space="preserve">    Best for grant-funded pilots and first-reference customer opportunities.</t>
        </is>
      </c>
    </row>
    <row r="57" ht="15" customHeight="1" s="164">
      <c r="A57" s="75" t="inlineStr">
        <is>
          <t xml:space="preserve">    Position as: "AI-assisted intake and dispatch support that works alongside your existing CAD system."</t>
        </is>
      </c>
    </row>
    <row r="58" ht="15.75" customHeight="1" s="164">
      <c r="A58" s="76" t="inlineStr">
        <is>
          <t>⚠  INTERNAL USE ONLY — Public-facing: "Tailored deployment · Custom quote · Contact sales"</t>
        </is>
      </c>
    </row>
  </sheetData>
  <mergeCells count="16">
    <mergeCell ref="A18:H18"/>
    <mergeCell ref="A56:H56"/>
    <mergeCell ref="A3:H3"/>
    <mergeCell ref="A39:H39"/>
    <mergeCell ref="A53:H53"/>
    <mergeCell ref="A55:H55"/>
    <mergeCell ref="A5:H5"/>
    <mergeCell ref="A57:H57"/>
    <mergeCell ref="A2:H2"/>
    <mergeCell ref="A54:H54"/>
    <mergeCell ref="A13:H13"/>
    <mergeCell ref="A14:H14"/>
    <mergeCell ref="A19:H19"/>
    <mergeCell ref="A1:H1"/>
    <mergeCell ref="A58:H58"/>
    <mergeCell ref="A40:H40"/>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62"/>
  <sheetViews>
    <sheetView showGridLines="0" zoomScaleNormal="100" workbookViewId="0">
      <pane ySplit="4" topLeftCell="A32" activePane="bottomLeft" state="frozen"/>
      <selection pane="bottomLeft" activeCell="A1" sqref="A1:H1"/>
    </sheetView>
  </sheetViews>
  <sheetFormatPr baseColWidth="10" defaultColWidth="8.6640625" defaultRowHeight="15"/>
  <cols>
    <col width="40" customWidth="1" style="164" min="1" max="1"/>
    <col width="20" customWidth="1" style="164" min="2" max="6"/>
    <col width="22" customWidth="1" style="164" min="7" max="8"/>
  </cols>
  <sheetData>
    <row r="1" ht="30" customHeight="1" s="164">
      <c r="A1" s="73" t="inlineStr">
        <is>
          <t>NEXCORT IQ — INTERNAL PRICING GUIDE</t>
        </is>
      </c>
    </row>
    <row r="2" ht="24" customHeight="1" s="164">
      <c r="A2" s="78" t="inlineStr">
        <is>
          <t>NEXCORT IQ PROFESSIONAL</t>
        </is>
      </c>
    </row>
    <row r="3" ht="18" customHeight="1" s="164">
      <c r="A3" s="74" t="inlineStr">
        <is>
          <t>Growing counties &amp; cities · Full features · Translation · QA · Analytics · Up to 25 dispatcher seats</t>
        </is>
      </c>
    </row>
    <row r="5" ht="19.5" customHeight="1" s="164">
      <c r="A5" s="77" t="inlineStr">
        <is>
          <t xml:space="preserve">  BASE SUBSCRIPTION FEES</t>
        </is>
      </c>
    </row>
    <row r="6" ht="31.5" customHeight="1" s="164">
      <c r="A6" s="3" t="inlineStr">
        <is>
          <t>Item</t>
        </is>
      </c>
      <c r="B6" s="3" t="inlineStr">
        <is>
          <t>Small Pro T1</t>
        </is>
      </c>
      <c r="C6" s="3" t="inlineStr">
        <is>
          <t>Medium Pro T2</t>
        </is>
      </c>
      <c r="D6" s="3" t="inlineStr">
        <is>
          <t>Large Pro T3</t>
        </is>
      </c>
      <c r="E6" s="3" t="inlineStr">
        <is>
          <t>Max Pro T4</t>
        </is>
      </c>
      <c r="F6" s="3" t="inlineStr">
        <is>
          <t>Range (docx)</t>
        </is>
      </c>
      <c r="G6" s="3" t="inlineStr">
        <is>
          <t>Notes</t>
        </is>
      </c>
      <c r="H6" s="3" t="n"/>
    </row>
    <row r="7" ht="15.75" customHeight="1" s="164">
      <c r="A7" s="4" t="inlineStr">
        <is>
          <t>Seats</t>
        </is>
      </c>
      <c r="B7" s="5" t="inlineStr">
        <is>
          <t>1–10</t>
        </is>
      </c>
      <c r="C7" s="5" t="inlineStr">
        <is>
          <t>11–18</t>
        </is>
      </c>
      <c r="D7" s="5" t="inlineStr">
        <is>
          <t>19–23</t>
        </is>
      </c>
      <c r="E7" s="5" t="inlineStr">
        <is>
          <t>24–25</t>
        </is>
      </c>
      <c r="F7" s="5" t="inlineStr">
        <is>
          <t>1–25</t>
        </is>
      </c>
      <c r="G7" s="5" t="n"/>
      <c r="H7" s="5" t="n"/>
    </row>
    <row r="8" ht="15.75" customHeight="1" s="164">
      <c r="A8" s="6" t="inlineStr">
        <is>
          <t>Call Volume / Month</t>
        </is>
      </c>
      <c r="B8" s="7" t="inlineStr">
        <is>
          <t>&lt;10,000</t>
        </is>
      </c>
      <c r="C8" s="7" t="inlineStr">
        <is>
          <t>10K–18K</t>
        </is>
      </c>
      <c r="D8" s="7" t="inlineStr">
        <is>
          <t>18K–23K</t>
        </is>
      </c>
      <c r="E8" s="7" t="inlineStr">
        <is>
          <t>23K–25K</t>
        </is>
      </c>
      <c r="F8" s="7" t="inlineStr">
        <is>
          <t>Varies</t>
        </is>
      </c>
      <c r="G8" s="7" t="n"/>
      <c r="H8" s="7" t="n"/>
    </row>
    <row r="9" ht="15.75" customHeight="1" s="164">
      <c r="A9" s="4" t="inlineStr">
        <is>
          <t>Monthly Fee</t>
        </is>
      </c>
      <c r="B9" s="9" t="n">
        <v>8500</v>
      </c>
      <c r="C9" s="9" t="n">
        <v>13000</v>
      </c>
      <c r="D9" s="9" t="n">
        <v>15500</v>
      </c>
      <c r="E9" s="9" t="n">
        <v>18000</v>
      </c>
      <c r="F9" s="5" t="inlineStr">
        <is>
          <t>$8,500–$18,000</t>
        </is>
      </c>
      <c r="G9" s="5" t="n"/>
      <c r="H9" s="5" t="n"/>
    </row>
    <row r="10" ht="15.75" customHeight="1" s="164">
      <c r="A10" s="6" t="inlineStr">
        <is>
          <t>Annual Fee</t>
        </is>
      </c>
      <c r="B10" s="7">
        <f>IFERROR(B8*12,"—")</f>
        <v/>
      </c>
      <c r="C10" s="7">
        <f>IFERROR(C8*12,"—")</f>
        <v/>
      </c>
      <c r="D10" s="7">
        <f>IFERROR(D8*12,"—")</f>
        <v/>
      </c>
      <c r="E10" s="7">
        <f>IFERROR(E8*12,"—")</f>
        <v/>
      </c>
      <c r="F10" s="7" t="inlineStr">
        <is>
          <t>$102K–$216K</t>
        </is>
      </c>
      <c r="G10" s="7" t="inlineStr">
        <is>
          <t>Auto-calculated</t>
        </is>
      </c>
      <c r="H10" s="7" t="n"/>
    </row>
    <row r="11" ht="15.75" customHeight="1" s="164">
      <c r="A11" s="4" t="inlineStr">
        <is>
          <t>Recommended Pilot (90-day)</t>
        </is>
      </c>
      <c r="B11" s="9" t="n">
        <v>50000</v>
      </c>
      <c r="C11" s="9" t="n">
        <v>70000</v>
      </c>
      <c r="D11" s="9" t="n">
        <v>87500</v>
      </c>
      <c r="E11" s="9" t="n">
        <v>100000</v>
      </c>
      <c r="F11" s="5" t="inlineStr">
        <is>
          <t>$50K–$100K</t>
        </is>
      </c>
      <c r="G11" s="5" t="n"/>
      <c r="H11" s="5" t="n"/>
    </row>
    <row r="12" ht="15.75" customHeight="1" s="164">
      <c r="A12" s="6" t="inlineStr">
        <is>
          <t>Setup / Implementation</t>
        </is>
      </c>
      <c r="B12" s="10" t="n">
        <v>25000</v>
      </c>
      <c r="C12" s="10" t="n">
        <v>40000</v>
      </c>
      <c r="D12" s="10" t="n">
        <v>50000</v>
      </c>
      <c r="E12" s="10" t="n">
        <v>60000</v>
      </c>
      <c r="F12" s="7" t="inlineStr">
        <is>
          <t>$25K–$60K</t>
        </is>
      </c>
      <c r="G12" s="7" t="inlineStr">
        <is>
          <t>One-time</t>
        </is>
      </c>
      <c r="H12" s="7" t="n"/>
    </row>
    <row r="13" ht="7.5" customHeight="1" s="164">
      <c r="A13" s="67" t="n"/>
    </row>
    <row r="14" ht="19.5" customHeight="1" s="164">
      <c r="A14" s="77" t="inlineStr">
        <is>
          <t xml:space="preserve">  SEAT OVERAGE PRICING</t>
        </is>
      </c>
    </row>
    <row r="15" ht="31.5" customHeight="1" s="164">
      <c r="A15" s="3" t="inlineStr">
        <is>
          <t>Seat Type</t>
        </is>
      </c>
      <c r="B15" s="3" t="inlineStr">
        <is>
          <t>Included in Base</t>
        </is>
      </c>
      <c r="C15" s="3" t="inlineStr">
        <is>
          <t>Overage Rate / Month</t>
        </is>
      </c>
      <c r="D15" s="3" t="inlineStr">
        <is>
          <t>Notes</t>
        </is>
      </c>
      <c r="E15" s="3" t="n"/>
      <c r="F15" s="3" t="n"/>
      <c r="G15" s="3" t="n"/>
      <c r="H15" s="3" t="n"/>
    </row>
    <row r="16" ht="15.75" customHeight="1" s="164">
      <c r="A16" s="4" t="inlineStr">
        <is>
          <t>Dispatcher Seats</t>
        </is>
      </c>
      <c r="B16" s="5" t="inlineStr">
        <is>
          <t>Up to 25</t>
        </is>
      </c>
      <c r="C16" s="5" t="inlineStr">
        <is>
          <t>$125 / seat / month</t>
        </is>
      </c>
      <c r="D16" s="5" t="inlineStr">
        <is>
          <t>Seats 26+</t>
        </is>
      </c>
      <c r="E16" s="5" t="n"/>
      <c r="F16" s="5" t="n"/>
      <c r="G16" s="5" t="n"/>
      <c r="H16" s="5" t="n"/>
    </row>
    <row r="17" ht="15.75" customHeight="1" s="164">
      <c r="A17" s="6" t="inlineStr">
        <is>
          <t>Admin / Supervisor Seats</t>
        </is>
      </c>
      <c r="B17" s="7" t="inlineStr">
        <is>
          <t>Up to 8</t>
        </is>
      </c>
      <c r="C17" s="7" t="inlineStr">
        <is>
          <t>$100 / seat / month</t>
        </is>
      </c>
      <c r="D17" s="7" t="inlineStr">
        <is>
          <t>Seats 9+</t>
        </is>
      </c>
      <c r="E17" s="7" t="n"/>
      <c r="F17" s="7" t="n"/>
      <c r="G17" s="7" t="n"/>
      <c r="H17" s="7" t="n"/>
    </row>
    <row r="18" ht="7.5" customHeight="1" s="164">
      <c r="A18" s="67" t="n"/>
    </row>
    <row r="19" ht="19.5" customHeight="1" s="164">
      <c r="A19" s="77" t="inlineStr">
        <is>
          <t xml:space="preserve">  INCLUDED CAPABILITIES (ALL ESSENTIAL + THESE)</t>
        </is>
      </c>
    </row>
    <row r="20" ht="31.5" customHeight="1" s="164">
      <c r="A20" s="3" t="inlineStr">
        <is>
          <t>Capability</t>
        </is>
      </c>
      <c r="B20" s="3" t="inlineStr">
        <is>
          <t>Included?</t>
        </is>
      </c>
      <c r="C20" s="3" t="inlineStr">
        <is>
          <t>Notes</t>
        </is>
      </c>
      <c r="D20" s="3" t="n"/>
      <c r="E20" s="3" t="n"/>
      <c r="F20" s="3" t="n"/>
      <c r="G20" s="3" t="n"/>
      <c r="H20" s="3" t="n"/>
    </row>
    <row r="21" ht="15.75" customHeight="1" s="164">
      <c r="A21" s="4" t="inlineStr">
        <is>
          <t>Full Dispatcher Monitoring Console</t>
        </is>
      </c>
      <c r="B21" s="11" t="inlineStr">
        <is>
          <t>Yes</t>
        </is>
      </c>
      <c r="C21" s="5" t="n"/>
      <c r="D21" s="5" t="n"/>
      <c r="E21" s="5" t="n"/>
      <c r="F21" s="5" t="n"/>
      <c r="G21" s="5" t="n"/>
      <c r="H21" s="5" t="n"/>
    </row>
    <row r="22" ht="15.75" customHeight="1" s="164">
      <c r="A22" s="6" t="inlineStr">
        <is>
          <t>Channel / Talk Group Monitoring</t>
        </is>
      </c>
      <c r="B22" s="12" t="inlineStr">
        <is>
          <t>Yes</t>
        </is>
      </c>
      <c r="C22" s="7" t="n"/>
      <c r="D22" s="7" t="n"/>
      <c r="E22" s="7" t="n"/>
      <c r="F22" s="7" t="n"/>
      <c r="G22" s="7" t="n"/>
      <c r="H22" s="7" t="n"/>
    </row>
    <row r="23" ht="15.75" customHeight="1" s="164">
      <c r="A23" s="4" t="inlineStr">
        <is>
          <t>Non-Emergency Intake Queue</t>
        </is>
      </c>
      <c r="B23" s="11" t="inlineStr">
        <is>
          <t>Yes</t>
        </is>
      </c>
      <c r="C23" s="5" t="n"/>
      <c r="D23" s="5" t="n"/>
      <c r="E23" s="5" t="n"/>
      <c r="F23" s="5" t="n"/>
      <c r="G23" s="5" t="n"/>
      <c r="H23" s="5" t="n"/>
    </row>
    <row r="24" ht="15.75" customHeight="1" s="164">
      <c r="A24" s="6" t="inlineStr">
        <is>
          <t>Backlog and SLA Tracking</t>
        </is>
      </c>
      <c r="B24" s="12" t="inlineStr">
        <is>
          <t>Yes</t>
        </is>
      </c>
      <c r="C24" s="7" t="n"/>
      <c r="D24" s="7" t="n"/>
      <c r="E24" s="7" t="n"/>
      <c r="F24" s="7" t="n"/>
      <c r="G24" s="7" t="n"/>
      <c r="H24" s="7" t="n"/>
    </row>
    <row r="25" ht="15.75" customHeight="1" s="164">
      <c r="A25" s="4" t="inlineStr">
        <is>
          <t>Live Translation</t>
        </is>
      </c>
      <c r="B25" s="11" t="inlineStr">
        <is>
          <t>Yes</t>
        </is>
      </c>
      <c r="C25" s="5" t="inlineStr">
        <is>
          <t>Included — not add-on</t>
        </is>
      </c>
      <c r="D25" s="5" t="n"/>
      <c r="E25" s="5" t="n"/>
      <c r="F25" s="5" t="n"/>
      <c r="G25" s="5" t="n"/>
      <c r="H25" s="5" t="n"/>
    </row>
    <row r="26" ht="15.75" customHeight="1" s="164">
      <c r="A26" s="6" t="inlineStr">
        <is>
          <t>Text-to-Voice Support</t>
        </is>
      </c>
      <c r="B26" s="12" t="inlineStr">
        <is>
          <t>Yes</t>
        </is>
      </c>
      <c r="C26" s="7" t="n"/>
      <c r="D26" s="7" t="n"/>
      <c r="E26" s="7" t="n"/>
      <c r="F26" s="7" t="n"/>
      <c r="G26" s="7" t="n"/>
      <c r="H26" s="7" t="n"/>
    </row>
    <row r="27" ht="15.75" customHeight="1" s="164">
      <c r="A27" s="4" t="inlineStr">
        <is>
          <t>Language Auto-Detection</t>
        </is>
      </c>
      <c r="B27" s="11" t="inlineStr">
        <is>
          <t>Yes</t>
        </is>
      </c>
      <c r="C27" s="5" t="n"/>
      <c r="D27" s="5" t="n"/>
      <c r="E27" s="5" t="n"/>
      <c r="F27" s="5" t="n"/>
      <c r="G27" s="5" t="n"/>
      <c r="H27" s="5" t="n"/>
    </row>
    <row r="28" ht="15.75" customHeight="1" s="164">
      <c r="A28" s="6" t="inlineStr">
        <is>
          <t>Caller Photo Upload</t>
        </is>
      </c>
      <c r="B28" s="12" t="inlineStr">
        <is>
          <t>Yes</t>
        </is>
      </c>
      <c r="C28" s="7" t="n"/>
      <c r="D28" s="7" t="n"/>
      <c r="E28" s="7" t="n"/>
      <c r="F28" s="7" t="n"/>
      <c r="G28" s="7" t="n"/>
      <c r="H28" s="7" t="n"/>
    </row>
    <row r="29" ht="15.75" customHeight="1" s="164">
      <c r="A29" s="4" t="inlineStr">
        <is>
          <t>Caller Video Upload</t>
        </is>
      </c>
      <c r="B29" s="11" t="inlineStr">
        <is>
          <t>Yes</t>
        </is>
      </c>
      <c r="C29" s="5" t="n"/>
      <c r="D29" s="5" t="n"/>
      <c r="E29" s="5" t="n"/>
      <c r="F29" s="5" t="n"/>
      <c r="G29" s="5" t="n"/>
      <c r="H29" s="5" t="n"/>
    </row>
    <row r="30" ht="15.75" customHeight="1" s="164">
      <c r="A30" s="6" t="inlineStr">
        <is>
          <t>Media Audit Trail</t>
        </is>
      </c>
      <c r="B30" s="12" t="inlineStr">
        <is>
          <t>Yes</t>
        </is>
      </c>
      <c r="C30" s="7" t="n"/>
      <c r="D30" s="7" t="n"/>
      <c r="E30" s="7" t="n"/>
      <c r="F30" s="7" t="n"/>
      <c r="G30" s="7" t="n"/>
      <c r="H30" s="7" t="n"/>
    </row>
    <row r="31" ht="15.75" customHeight="1" s="164">
      <c r="A31" s="4" t="inlineStr">
        <is>
          <t>Supervisor QA Tools</t>
        </is>
      </c>
      <c r="B31" s="11" t="inlineStr">
        <is>
          <t>Yes</t>
        </is>
      </c>
      <c r="C31" s="5" t="n"/>
      <c r="D31" s="5" t="n"/>
      <c r="E31" s="5" t="n"/>
      <c r="F31" s="5" t="n"/>
      <c r="G31" s="5" t="n"/>
      <c r="H31" s="5" t="n"/>
    </row>
    <row r="32" ht="15.75" customHeight="1" s="164">
      <c r="A32" s="6" t="inlineStr">
        <is>
          <t>Scorecards</t>
        </is>
      </c>
      <c r="B32" s="12" t="inlineStr">
        <is>
          <t>Yes</t>
        </is>
      </c>
      <c r="C32" s="7" t="n"/>
      <c r="D32" s="7" t="n"/>
      <c r="E32" s="7" t="n"/>
      <c r="F32" s="7" t="n"/>
      <c r="G32" s="7" t="n"/>
      <c r="H32" s="7" t="n"/>
    </row>
    <row r="33" ht="15.75" customHeight="1" s="164">
      <c r="A33" s="4" t="inlineStr">
        <is>
          <t>Coaching Notes</t>
        </is>
      </c>
      <c r="B33" s="11" t="inlineStr">
        <is>
          <t>Yes</t>
        </is>
      </c>
      <c r="C33" s="5" t="n"/>
      <c r="D33" s="5" t="n"/>
      <c r="E33" s="5" t="n"/>
      <c r="F33" s="5" t="n"/>
      <c r="G33" s="5" t="n"/>
      <c r="H33" s="5" t="n"/>
    </row>
    <row r="34" ht="15.75" customHeight="1" s="164">
      <c r="A34" s="6" t="inlineStr">
        <is>
          <t>Team Performance Dashboards</t>
        </is>
      </c>
      <c r="B34" s="12" t="inlineStr">
        <is>
          <t>Yes</t>
        </is>
      </c>
      <c r="C34" s="7" t="n"/>
      <c r="D34" s="7" t="n"/>
      <c r="E34" s="7" t="n"/>
      <c r="F34" s="7" t="n"/>
      <c r="G34" s="7" t="n"/>
      <c r="H34" s="7" t="n"/>
    </row>
    <row r="35" ht="15.75" customHeight="1" s="164">
      <c r="A35" s="4" t="inlineStr">
        <is>
          <t>Call Quality Trends</t>
        </is>
      </c>
      <c r="B35" s="11" t="inlineStr">
        <is>
          <t>Yes</t>
        </is>
      </c>
      <c r="C35" s="5" t="n"/>
      <c r="D35" s="5" t="n"/>
      <c r="E35" s="5" t="n"/>
      <c r="F35" s="5" t="n"/>
      <c r="G35" s="5" t="n"/>
      <c r="H35" s="5" t="n"/>
    </row>
    <row r="36" ht="15.75" customHeight="1" s="164">
      <c r="A36" s="6" t="inlineStr">
        <is>
          <t>Incident Timeline Reconstruction</t>
        </is>
      </c>
      <c r="B36" s="12" t="inlineStr">
        <is>
          <t>Yes</t>
        </is>
      </c>
      <c r="C36" s="7" t="n"/>
      <c r="D36" s="7" t="n"/>
      <c r="E36" s="7" t="n"/>
      <c r="F36" s="7" t="n"/>
      <c r="G36" s="7" t="n"/>
      <c r="H36" s="7" t="n"/>
    </row>
    <row r="37" ht="15.75" customHeight="1" s="164">
      <c r="A37" s="4" t="inlineStr">
        <is>
          <t>Post-Incident Reviews</t>
        </is>
      </c>
      <c r="B37" s="11" t="inlineStr">
        <is>
          <t>Yes</t>
        </is>
      </c>
      <c r="C37" s="5" t="n"/>
      <c r="D37" s="5" t="n"/>
      <c r="E37" s="5" t="n"/>
      <c r="F37" s="5" t="n"/>
      <c r="G37" s="5" t="n"/>
      <c r="H37" s="5" t="n"/>
    </row>
    <row r="38" ht="15.75" customHeight="1" s="164">
      <c r="A38" s="6" t="inlineStr">
        <is>
          <t>Integration Assistance</t>
        </is>
      </c>
      <c r="B38" s="12" t="inlineStr">
        <is>
          <t>Yes</t>
        </is>
      </c>
      <c r="C38" s="7" t="n"/>
      <c r="D38" s="7" t="n"/>
      <c r="E38" s="7" t="n"/>
      <c r="F38" s="7" t="n"/>
      <c r="G38" s="7" t="n"/>
      <c r="H38" s="7" t="n"/>
    </row>
    <row r="39" ht="15.75" customHeight="1" s="164">
      <c r="A39" s="4" t="inlineStr">
        <is>
          <t>Priority Support</t>
        </is>
      </c>
      <c r="B39" s="11" t="inlineStr">
        <is>
          <t>Yes</t>
        </is>
      </c>
      <c r="C39" s="11" t="inlineStr">
        <is>
          <t>Included</t>
        </is>
      </c>
      <c r="D39" s="5" t="n"/>
      <c r="E39" s="5" t="n"/>
      <c r="F39" s="5" t="n"/>
      <c r="G39" s="5" t="n"/>
      <c r="H39" s="5" t="n"/>
    </row>
    <row r="40" ht="7.5" customHeight="1" s="164">
      <c r="A40" s="67" t="n"/>
    </row>
    <row r="41" ht="19.5" customHeight="1" s="164">
      <c r="A41" s="77" t="inlineStr">
        <is>
          <t xml:space="preserve">  LIMITED / ADD-ON IN PROFESSIONAL</t>
        </is>
      </c>
    </row>
    <row r="42" ht="31.5" customHeight="1" s="164">
      <c r="A42" s="3" t="inlineStr">
        <is>
          <t>Capability</t>
        </is>
      </c>
      <c r="B42" s="3" t="inlineStr">
        <is>
          <t>Status</t>
        </is>
      </c>
      <c r="C42" s="3" t="inlineStr">
        <is>
          <t>Price Low / Month</t>
        </is>
      </c>
      <c r="D42" s="3" t="inlineStr">
        <is>
          <t>Price High / Month</t>
        </is>
      </c>
      <c r="E42" s="3" t="inlineStr">
        <is>
          <t>Notes</t>
        </is>
      </c>
      <c r="F42" s="3" t="n"/>
      <c r="G42" s="3" t="n"/>
      <c r="H42" s="3" t="n"/>
    </row>
    <row r="43" ht="15.75" customHeight="1" s="164">
      <c r="A43" s="4" t="inlineStr">
        <is>
          <t>Live Caller Media Streaming</t>
        </is>
      </c>
      <c r="B43" s="14" t="inlineStr">
        <is>
          <t>Limited</t>
        </is>
      </c>
      <c r="C43" s="9" t="n">
        <v>2500</v>
      </c>
      <c r="D43" s="9" t="n">
        <v>6000</v>
      </c>
      <c r="E43" s="5" t="inlineStr">
        <is>
          <t>WebRTC real-time</t>
        </is>
      </c>
      <c r="F43" s="5" t="n"/>
      <c r="G43" s="5" t="n"/>
      <c r="H43" s="5" t="n"/>
    </row>
    <row r="44" ht="15.75" customHeight="1" s="164">
      <c r="A44" s="6" t="inlineStr">
        <is>
          <t>Runbooks / Playbooks</t>
        </is>
      </c>
      <c r="B44" s="13" t="inlineStr">
        <is>
          <t>Limited</t>
        </is>
      </c>
      <c r="C44" s="10" t="n">
        <v>1500</v>
      </c>
      <c r="D44" s="10" t="n">
        <v>4000</v>
      </c>
      <c r="E44" s="7" t="n"/>
      <c r="F44" s="7" t="n"/>
      <c r="G44" s="7" t="n"/>
      <c r="H44" s="7" t="n"/>
    </row>
    <row r="45" ht="15.75" customHeight="1" s="164">
      <c r="A45" s="4" t="inlineStr">
        <is>
          <t>Monitoring Integrations</t>
        </is>
      </c>
      <c r="B45" s="14" t="inlineStr">
        <is>
          <t>Limited</t>
        </is>
      </c>
      <c r="C45" s="9" t="n">
        <v>1000</v>
      </c>
      <c r="D45" s="9" t="n">
        <v>3500</v>
      </c>
      <c r="E45" s="5" t="n"/>
      <c r="F45" s="5" t="n"/>
      <c r="G45" s="5" t="n"/>
      <c r="H45" s="5" t="n"/>
    </row>
    <row r="46" ht="15.75" customHeight="1" s="164">
      <c r="A46" s="6" t="inlineStr">
        <is>
          <t>Premium Onboarding</t>
        </is>
      </c>
      <c r="B46" s="13" t="inlineStr">
        <is>
          <t>Limited</t>
        </is>
      </c>
      <c r="C46" s="10" t="n">
        <v>10000</v>
      </c>
      <c r="D46" s="10" t="n">
        <v>25000</v>
      </c>
      <c r="E46" s="7" t="inlineStr">
        <is>
          <t>One-time</t>
        </is>
      </c>
      <c r="F46" s="7" t="n"/>
      <c r="G46" s="7" t="n"/>
      <c r="H46" s="7" t="n"/>
    </row>
    <row r="47" ht="15.75" customHeight="1" s="164">
      <c r="A47" s="4" t="inlineStr">
        <is>
          <t>Dedicated Rollout Planning</t>
        </is>
      </c>
      <c r="B47" s="14" t="inlineStr">
        <is>
          <t>Limited</t>
        </is>
      </c>
      <c r="C47" s="9" t="n">
        <v>5000</v>
      </c>
      <c r="D47" s="9" t="n">
        <v>15000</v>
      </c>
      <c r="E47" s="5" t="inlineStr">
        <is>
          <t>One-time</t>
        </is>
      </c>
      <c r="F47" s="5" t="n"/>
      <c r="G47" s="5" t="n"/>
      <c r="H47" s="5" t="n"/>
    </row>
    <row r="48" ht="15.75" customHeight="1" s="164">
      <c r="A48" s="6" t="inlineStr">
        <is>
          <t>Major Incident Management</t>
        </is>
      </c>
      <c r="B48" s="15" t="inlineStr">
        <is>
          <t>Add-on</t>
        </is>
      </c>
      <c r="C48" s="10" t="n">
        <v>2500</v>
      </c>
      <c r="D48" s="10" t="n">
        <v>7500</v>
      </c>
      <c r="E48" s="7" t="n"/>
      <c r="F48" s="7" t="n"/>
      <c r="G48" s="7" t="n"/>
      <c r="H48" s="7" t="n"/>
    </row>
    <row r="49" ht="15.75" customHeight="1" s="164">
      <c r="A49" s="4" t="inlineStr">
        <is>
          <t>Command Dashboard</t>
        </is>
      </c>
      <c r="B49" s="16" t="inlineStr">
        <is>
          <t>Add-on</t>
        </is>
      </c>
      <c r="C49" s="9" t="n">
        <v>2500</v>
      </c>
      <c r="D49" s="9" t="n">
        <v>7500</v>
      </c>
      <c r="E49" s="5" t="n"/>
      <c r="F49" s="5" t="n"/>
      <c r="G49" s="5" t="n"/>
      <c r="H49" s="5" t="n"/>
    </row>
    <row r="50" ht="15.75" customHeight="1" s="164">
      <c r="A50" s="6" t="inlineStr">
        <is>
          <t>War Rooms</t>
        </is>
      </c>
      <c r="B50" s="15" t="inlineStr">
        <is>
          <t>Add-on</t>
        </is>
      </c>
      <c r="C50" s="10" t="n">
        <v>2000</v>
      </c>
      <c r="D50" s="10" t="n">
        <v>6000</v>
      </c>
      <c r="E50" s="7" t="n"/>
      <c r="F50" s="7" t="n"/>
      <c r="G50" s="7" t="n"/>
      <c r="H50" s="7" t="n"/>
    </row>
    <row r="51" ht="15.75" customHeight="1" s="164">
      <c r="A51" s="4" t="inlineStr">
        <is>
          <t>Stakeholder Status Pages</t>
        </is>
      </c>
      <c r="B51" s="16" t="inlineStr">
        <is>
          <t>Add-on</t>
        </is>
      </c>
      <c r="C51" s="9" t="n">
        <v>1500</v>
      </c>
      <c r="D51" s="9" t="n">
        <v>5000</v>
      </c>
      <c r="E51" s="5" t="n"/>
      <c r="F51" s="5" t="n"/>
      <c r="G51" s="5" t="n"/>
      <c r="H51" s="5" t="n"/>
    </row>
    <row r="52" ht="15.75" customHeight="1" s="164">
      <c r="A52" s="6" t="inlineStr">
        <is>
          <t>Alert Correlation</t>
        </is>
      </c>
      <c r="B52" s="15" t="inlineStr">
        <is>
          <t>Add-on</t>
        </is>
      </c>
      <c r="C52" s="10" t="n">
        <v>1500</v>
      </c>
      <c r="D52" s="10" t="n">
        <v>5000</v>
      </c>
      <c r="E52" s="7" t="n"/>
      <c r="F52" s="7" t="n"/>
      <c r="G52" s="7" t="n"/>
      <c r="H52" s="7" t="n"/>
    </row>
    <row r="53" ht="15.75" customHeight="1" s="164">
      <c r="A53" s="4" t="inlineStr">
        <is>
          <t>Escalation Engine</t>
        </is>
      </c>
      <c r="B53" s="16" t="inlineStr">
        <is>
          <t>Add-on</t>
        </is>
      </c>
      <c r="C53" s="9" t="n">
        <v>1500</v>
      </c>
      <c r="D53" s="9" t="n">
        <v>5000</v>
      </c>
      <c r="E53" s="5" t="n"/>
      <c r="F53" s="5" t="n"/>
      <c r="G53" s="5" t="n"/>
      <c r="H53" s="5" t="n"/>
    </row>
    <row r="54" ht="15.75" customHeight="1" s="164">
      <c r="A54" s="6" t="inlineStr">
        <is>
          <t>On-Call Routing</t>
        </is>
      </c>
      <c r="B54" s="15" t="inlineStr">
        <is>
          <t>Add-on</t>
        </is>
      </c>
      <c r="C54" s="10" t="n">
        <v>1500</v>
      </c>
      <c r="D54" s="10" t="n">
        <v>5000</v>
      </c>
      <c r="E54" s="7" t="n"/>
      <c r="F54" s="7" t="n"/>
      <c r="G54" s="7" t="n"/>
      <c r="H54" s="7" t="n"/>
    </row>
    <row r="55" ht="15.75" customHeight="1" s="164">
      <c r="A55" s="4" t="inlineStr">
        <is>
          <t>SLO Dashboards</t>
        </is>
      </c>
      <c r="B55" s="16" t="inlineStr">
        <is>
          <t>Add-on</t>
        </is>
      </c>
      <c r="C55" s="9" t="n">
        <v>1500</v>
      </c>
      <c r="D55" s="9" t="n">
        <v>5000</v>
      </c>
      <c r="E55" s="5" t="n"/>
      <c r="F55" s="5" t="n"/>
      <c r="G55" s="5" t="n"/>
      <c r="H55" s="5" t="n"/>
    </row>
    <row r="56" ht="15.75" customHeight="1" s="164">
      <c r="A56" s="6" t="inlineStr">
        <is>
          <t>Reliability Reporting</t>
        </is>
      </c>
      <c r="B56" s="15" t="inlineStr">
        <is>
          <t>Add-on</t>
        </is>
      </c>
      <c r="C56" s="10" t="n">
        <v>1500</v>
      </c>
      <c r="D56" s="10" t="n">
        <v>5000</v>
      </c>
      <c r="E56" s="7" t="n"/>
      <c r="F56" s="7" t="n"/>
      <c r="G56" s="7" t="n"/>
      <c r="H56" s="7" t="n"/>
    </row>
    <row r="57" ht="7.5" customHeight="1" s="164">
      <c r="A57" s="67" t="n"/>
    </row>
    <row r="58" ht="18" customHeight="1" s="164">
      <c r="A58" s="79" t="inlineStr">
        <is>
          <t xml:space="preserve">  SALES POSITIONING — Professional Plan</t>
        </is>
      </c>
    </row>
    <row r="59" ht="15" customHeight="1" s="164">
      <c r="A59" s="75" t="inlineStr">
        <is>
          <t xml:space="preserve">    Demonstrates value across intake, language support, media, QA, and supervisor visibility.</t>
        </is>
      </c>
    </row>
    <row r="60" ht="15" customHeight="1" s="164">
      <c r="A60" s="75" t="inlineStr">
        <is>
          <t xml:space="preserve">    Best for county pilots and growing regional PSAPs ready to go beyond basic AI triage.</t>
        </is>
      </c>
    </row>
    <row r="61" ht="15" customHeight="1" s="164">
      <c r="A61" s="75" t="inlineStr">
        <is>
          <t xml:space="preserve">    Translation and caller media are included — emphasize cost savings vs. separate vendor solutions.</t>
        </is>
      </c>
    </row>
    <row r="62" ht="15.75" customHeight="1" s="164">
      <c r="A62" s="76" t="inlineStr">
        <is>
          <t>⚠  INTERNAL USE ONLY</t>
        </is>
      </c>
    </row>
  </sheetData>
  <mergeCells count="16">
    <mergeCell ref="A18:H18"/>
    <mergeCell ref="A1:H1"/>
    <mergeCell ref="A62:H62"/>
    <mergeCell ref="A3:H3"/>
    <mergeCell ref="A59:H59"/>
    <mergeCell ref="A57:H57"/>
    <mergeCell ref="A2:H2"/>
    <mergeCell ref="A60:H60"/>
    <mergeCell ref="A41:H41"/>
    <mergeCell ref="A13:H13"/>
    <mergeCell ref="A14:H14"/>
    <mergeCell ref="A19:H19"/>
    <mergeCell ref="A5:H5"/>
    <mergeCell ref="A61:H61"/>
    <mergeCell ref="A58:H58"/>
    <mergeCell ref="A40:H40"/>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49"/>
  <sheetViews>
    <sheetView showGridLines="0" zoomScaleNormal="100" workbookViewId="0">
      <pane ySplit="4" topLeftCell="A12" activePane="bottomLeft" state="frozen"/>
      <selection pane="bottomLeft" activeCell="A1" sqref="A1:H1"/>
    </sheetView>
  </sheetViews>
  <sheetFormatPr baseColWidth="10" defaultColWidth="8.6640625" defaultRowHeight="15"/>
  <cols>
    <col width="40" customWidth="1" style="164" min="1" max="1"/>
    <col width="22" customWidth="1" style="164" min="2" max="8"/>
  </cols>
  <sheetData>
    <row r="1" ht="30" customHeight="1" s="164">
      <c r="A1" s="73" t="inlineStr">
        <is>
          <t>NEXCORT IQ — INTERNAL PRICING GUIDE</t>
        </is>
      </c>
    </row>
    <row r="2" ht="24" customHeight="1" s="164">
      <c r="A2" s="78" t="inlineStr">
        <is>
          <t>NEXCORT IQ COMMAND</t>
        </is>
      </c>
    </row>
    <row r="3" ht="18" customHeight="1" s="164">
      <c r="A3" s="74" t="inlineStr">
        <is>
          <t>Large agencies · Regional command environments · Major incident coordination · Up to 75 dispatcher seats</t>
        </is>
      </c>
    </row>
    <row r="5" ht="19.5" customHeight="1" s="164">
      <c r="A5" s="77" t="inlineStr">
        <is>
          <t xml:space="preserve">  BASE SUBSCRIPTION FEES</t>
        </is>
      </c>
    </row>
    <row r="6" ht="31.5" customHeight="1" s="164">
      <c r="A6" s="3" t="inlineStr">
        <is>
          <t>Item</t>
        </is>
      </c>
      <c r="B6" s="3" t="inlineStr">
        <is>
          <t>Small Cmd T1</t>
        </is>
      </c>
      <c r="C6" s="3" t="inlineStr">
        <is>
          <t>Medium Cmd T2</t>
        </is>
      </c>
      <c r="D6" s="3" t="inlineStr">
        <is>
          <t>Large Cmd T3</t>
        </is>
      </c>
      <c r="E6" s="3" t="inlineStr">
        <is>
          <t>Max Cmd T4</t>
        </is>
      </c>
      <c r="F6" s="3" t="inlineStr">
        <is>
          <t>Range (docx)</t>
        </is>
      </c>
      <c r="G6" s="3" t="inlineStr">
        <is>
          <t>Notes</t>
        </is>
      </c>
      <c r="H6" s="3" t="n"/>
    </row>
    <row r="7" ht="15.75" customHeight="1" s="164">
      <c r="A7" s="4" t="inlineStr">
        <is>
          <t>Seats</t>
        </is>
      </c>
      <c r="B7" s="5" t="inlineStr">
        <is>
          <t>1–25</t>
        </is>
      </c>
      <c r="C7" s="5" t="inlineStr">
        <is>
          <t>26–50</t>
        </is>
      </c>
      <c r="D7" s="5" t="inlineStr">
        <is>
          <t>51–65</t>
        </is>
      </c>
      <c r="E7" s="5" t="inlineStr">
        <is>
          <t>66–75</t>
        </is>
      </c>
      <c r="F7" s="5" t="inlineStr">
        <is>
          <t>1–75</t>
        </is>
      </c>
      <c r="G7" s="5" t="n"/>
      <c r="H7" s="5" t="n"/>
    </row>
    <row r="8" ht="15.75" customHeight="1" s="164">
      <c r="A8" s="6" t="inlineStr">
        <is>
          <t>Call Volume / Month</t>
        </is>
      </c>
      <c r="B8" s="7" t="inlineStr">
        <is>
          <t>&lt;30,000</t>
        </is>
      </c>
      <c r="C8" s="7" t="inlineStr">
        <is>
          <t>30K–60K</t>
        </is>
      </c>
      <c r="D8" s="7" t="inlineStr">
        <is>
          <t>60K–85K</t>
        </is>
      </c>
      <c r="E8" s="7" t="inlineStr">
        <is>
          <t>85K–100K</t>
        </is>
      </c>
      <c r="F8" s="7" t="inlineStr">
        <is>
          <t>Varies</t>
        </is>
      </c>
      <c r="G8" s="7" t="n"/>
      <c r="H8" s="7" t="n"/>
    </row>
    <row r="9" ht="15.75" customHeight="1" s="164">
      <c r="A9" s="4" t="inlineStr">
        <is>
          <t>Monthly Fee</t>
        </is>
      </c>
      <c r="B9" s="9" t="n">
        <v>22500</v>
      </c>
      <c r="C9" s="9" t="n">
        <v>31000</v>
      </c>
      <c r="D9" s="9" t="n">
        <v>40000</v>
      </c>
      <c r="E9" s="9" t="n">
        <v>50000</v>
      </c>
      <c r="F9" s="5" t="inlineStr">
        <is>
          <t>$22,500–$50,000</t>
        </is>
      </c>
      <c r="G9" s="5" t="n"/>
      <c r="H9" s="5" t="n"/>
    </row>
    <row r="10" ht="15.75" customHeight="1" s="164">
      <c r="A10" s="6" t="inlineStr">
        <is>
          <t>Annual Fee</t>
        </is>
      </c>
      <c r="B10" s="7">
        <f>IFERROR(B8*12,"—")</f>
        <v/>
      </c>
      <c r="C10" s="7">
        <f>IFERROR(C8*12,"—")</f>
        <v/>
      </c>
      <c r="D10" s="7">
        <f>IFERROR(D8*12,"—")</f>
        <v/>
      </c>
      <c r="E10" s="7">
        <f>IFERROR(E8*12,"—")</f>
        <v/>
      </c>
      <c r="F10" s="7" t="inlineStr">
        <is>
          <t>$270K–$600K</t>
        </is>
      </c>
      <c r="G10" s="7" t="inlineStr">
        <is>
          <t>Auto-calculated</t>
        </is>
      </c>
      <c r="H10" s="7" t="n"/>
    </row>
    <row r="11" ht="15.75" customHeight="1" s="164">
      <c r="A11" s="4" t="inlineStr">
        <is>
          <t>Recommended Pilot (90–180 days)</t>
        </is>
      </c>
      <c r="B11" s="9" t="n">
        <v>100000</v>
      </c>
      <c r="C11" s="9" t="n">
        <v>150000</v>
      </c>
      <c r="D11" s="9" t="n">
        <v>200000</v>
      </c>
      <c r="E11" s="9" t="n">
        <v>250000</v>
      </c>
      <c r="F11" s="5" t="inlineStr">
        <is>
          <t>$100K–$250K</t>
        </is>
      </c>
      <c r="G11" s="5" t="inlineStr">
        <is>
          <t>6-month standard</t>
        </is>
      </c>
      <c r="H11" s="5" t="n"/>
    </row>
    <row r="12" ht="15.75" customHeight="1" s="164">
      <c r="A12" s="6" t="inlineStr">
        <is>
          <t>Setup / Implementation</t>
        </is>
      </c>
      <c r="B12" s="10" t="n">
        <v>75000</v>
      </c>
      <c r="C12" s="10" t="n">
        <v>100000</v>
      </c>
      <c r="D12" s="10" t="n">
        <v>125000</v>
      </c>
      <c r="E12" s="10" t="n">
        <v>150000</v>
      </c>
      <c r="F12" s="7" t="inlineStr">
        <is>
          <t>$75K–$150K</t>
        </is>
      </c>
      <c r="G12" s="7" t="inlineStr">
        <is>
          <t>One-time</t>
        </is>
      </c>
      <c r="H12" s="7" t="n"/>
    </row>
    <row r="13" ht="7.5" customHeight="1" s="164">
      <c r="A13" s="67" t="n"/>
    </row>
    <row r="14" ht="19.5" customHeight="1" s="164">
      <c r="A14" s="77" t="inlineStr">
        <is>
          <t xml:space="preserve">  SEAT OVERAGE PRICING</t>
        </is>
      </c>
    </row>
    <row r="15" ht="31.5" customHeight="1" s="164">
      <c r="A15" s="3" t="inlineStr">
        <is>
          <t>Seat Type</t>
        </is>
      </c>
      <c r="B15" s="3" t="inlineStr">
        <is>
          <t>Included</t>
        </is>
      </c>
      <c r="C15" s="3" t="inlineStr">
        <is>
          <t>Overage Rate / Month</t>
        </is>
      </c>
      <c r="D15" s="3" t="inlineStr">
        <is>
          <t>Notes</t>
        </is>
      </c>
      <c r="E15" s="3" t="n"/>
      <c r="F15" s="3" t="n"/>
      <c r="G15" s="3" t="n"/>
      <c r="H15" s="3" t="n"/>
    </row>
    <row r="16" ht="15.75" customHeight="1" s="164">
      <c r="A16" s="4" t="inlineStr">
        <is>
          <t>Dispatcher Seats</t>
        </is>
      </c>
      <c r="B16" s="5" t="inlineStr">
        <is>
          <t>Up to 75</t>
        </is>
      </c>
      <c r="C16" s="5" t="inlineStr">
        <is>
          <t>$100 / seat / month</t>
        </is>
      </c>
      <c r="D16" s="5" t="inlineStr">
        <is>
          <t>Seats 76+</t>
        </is>
      </c>
      <c r="E16" s="5" t="n"/>
      <c r="F16" s="5" t="n"/>
      <c r="G16" s="5" t="n"/>
      <c r="H16" s="5" t="n"/>
    </row>
    <row r="17" ht="15.75" customHeight="1" s="164">
      <c r="A17" s="6" t="inlineStr">
        <is>
          <t>Admin / Supervisor / Command Seats</t>
        </is>
      </c>
      <c r="B17" s="7" t="inlineStr">
        <is>
          <t>Up to 20</t>
        </is>
      </c>
      <c r="C17" s="7" t="inlineStr">
        <is>
          <t>$85 / seat / month</t>
        </is>
      </c>
      <c r="D17" s="7" t="inlineStr">
        <is>
          <t>Seats 21+</t>
        </is>
      </c>
      <c r="E17" s="7" t="n"/>
      <c r="F17" s="7" t="n"/>
      <c r="G17" s="7" t="n"/>
      <c r="H17" s="7" t="n"/>
    </row>
    <row r="18" ht="7.5" customHeight="1" s="164">
      <c r="A18" s="67" t="n"/>
    </row>
    <row r="19" ht="19.5" customHeight="1" s="164">
      <c r="A19" s="77" t="inlineStr">
        <is>
          <t xml:space="preserve">  INCLUDED CAPABILITIES (ALL PROFESSIONAL + THESE)</t>
        </is>
      </c>
    </row>
    <row r="20" ht="31.5" customHeight="1" s="164">
      <c r="A20" s="3" t="inlineStr">
        <is>
          <t>Capability</t>
        </is>
      </c>
      <c r="B20" s="3" t="inlineStr">
        <is>
          <t>Included?</t>
        </is>
      </c>
      <c r="C20" s="3" t="inlineStr">
        <is>
          <t>Notes</t>
        </is>
      </c>
      <c r="D20" s="3" t="n"/>
      <c r="E20" s="3" t="n"/>
      <c r="F20" s="3" t="n"/>
      <c r="G20" s="3" t="n"/>
      <c r="H20" s="3" t="n"/>
    </row>
    <row r="21" ht="15.75" customHeight="1" s="164">
      <c r="A21" s="4" t="inlineStr">
        <is>
          <t>Major Incident Management</t>
        </is>
      </c>
      <c r="B21" s="11" t="inlineStr">
        <is>
          <t>Yes</t>
        </is>
      </c>
      <c r="C21" s="5" t="n"/>
      <c r="D21" s="5" t="n"/>
      <c r="E21" s="5" t="n"/>
      <c r="F21" s="5" t="n"/>
      <c r="G21" s="5" t="n"/>
      <c r="H21" s="5" t="n"/>
    </row>
    <row r="22" ht="15.75" customHeight="1" s="164">
      <c r="A22" s="6" t="inlineStr">
        <is>
          <t>Command Dashboard</t>
        </is>
      </c>
      <c r="B22" s="12" t="inlineStr">
        <is>
          <t>Yes</t>
        </is>
      </c>
      <c r="C22" s="7" t="n"/>
      <c r="D22" s="7" t="n"/>
      <c r="E22" s="7" t="n"/>
      <c r="F22" s="7" t="n"/>
      <c r="G22" s="7" t="n"/>
      <c r="H22" s="7" t="n"/>
    </row>
    <row r="23" ht="15.75" customHeight="1" s="164">
      <c r="A23" s="4" t="inlineStr">
        <is>
          <t>War Rooms</t>
        </is>
      </c>
      <c r="B23" s="11" t="inlineStr">
        <is>
          <t>Yes</t>
        </is>
      </c>
      <c r="C23" s="5" t="n"/>
      <c r="D23" s="5" t="n"/>
      <c r="E23" s="5" t="n"/>
      <c r="F23" s="5" t="n"/>
      <c r="G23" s="5" t="n"/>
      <c r="H23" s="5" t="n"/>
    </row>
    <row r="24" ht="15.75" customHeight="1" s="164">
      <c r="A24" s="6" t="inlineStr">
        <is>
          <t>Runbooks / Playbooks</t>
        </is>
      </c>
      <c r="B24" s="12" t="inlineStr">
        <is>
          <t>Yes</t>
        </is>
      </c>
      <c r="C24" s="7" t="n"/>
      <c r="D24" s="7" t="n"/>
      <c r="E24" s="7" t="n"/>
      <c r="F24" s="7" t="n"/>
      <c r="G24" s="7" t="n"/>
      <c r="H24" s="7" t="n"/>
    </row>
    <row r="25" ht="15.75" customHeight="1" s="164">
      <c r="A25" s="4" t="inlineStr">
        <is>
          <t>Post-Incident Review Tools</t>
        </is>
      </c>
      <c r="B25" s="11" t="inlineStr">
        <is>
          <t>Yes</t>
        </is>
      </c>
      <c r="C25" s="5" t="n"/>
      <c r="D25" s="5" t="n"/>
      <c r="E25" s="5" t="n"/>
      <c r="F25" s="5" t="n"/>
      <c r="G25" s="5" t="n"/>
      <c r="H25" s="5" t="n"/>
    </row>
    <row r="26" ht="15.75" customHeight="1" s="164">
      <c r="A26" s="6" t="inlineStr">
        <is>
          <t>Stakeholder Status Pages</t>
        </is>
      </c>
      <c r="B26" s="12" t="inlineStr">
        <is>
          <t>Yes</t>
        </is>
      </c>
      <c r="C26" s="7" t="n"/>
      <c r="D26" s="7" t="n"/>
      <c r="E26" s="7" t="n"/>
      <c r="F26" s="7" t="n"/>
      <c r="G26" s="7" t="n"/>
      <c r="H26" s="7" t="n"/>
    </row>
    <row r="27" ht="15.75" customHeight="1" s="164">
      <c r="A27" s="4" t="inlineStr">
        <is>
          <t>Monitoring Integrations</t>
        </is>
      </c>
      <c r="B27" s="11" t="inlineStr">
        <is>
          <t>Yes</t>
        </is>
      </c>
      <c r="C27" s="5" t="n"/>
      <c r="D27" s="5" t="n"/>
      <c r="E27" s="5" t="n"/>
      <c r="F27" s="5" t="n"/>
      <c r="G27" s="5" t="n"/>
      <c r="H27" s="5" t="n"/>
    </row>
    <row r="28" ht="15.75" customHeight="1" s="164">
      <c r="A28" s="6" t="inlineStr">
        <is>
          <t>Alert Correlation</t>
        </is>
      </c>
      <c r="B28" s="12" t="inlineStr">
        <is>
          <t>Yes</t>
        </is>
      </c>
      <c r="C28" s="7" t="n"/>
      <c r="D28" s="7" t="n"/>
      <c r="E28" s="7" t="n"/>
      <c r="F28" s="7" t="n"/>
      <c r="G28" s="7" t="n"/>
      <c r="H28" s="7" t="n"/>
    </row>
    <row r="29" ht="15.75" customHeight="1" s="164">
      <c r="A29" s="4" t="inlineStr">
        <is>
          <t>Escalation Engine</t>
        </is>
      </c>
      <c r="B29" s="11" t="inlineStr">
        <is>
          <t>Yes</t>
        </is>
      </c>
      <c r="C29" s="5" t="n"/>
      <c r="D29" s="5" t="n"/>
      <c r="E29" s="5" t="n"/>
      <c r="F29" s="5" t="n"/>
      <c r="G29" s="5" t="n"/>
      <c r="H29" s="5" t="n"/>
    </row>
    <row r="30" ht="15.75" customHeight="1" s="164">
      <c r="A30" s="6" t="inlineStr">
        <is>
          <t>On-Call Routing</t>
        </is>
      </c>
      <c r="B30" s="12" t="inlineStr">
        <is>
          <t>Yes</t>
        </is>
      </c>
      <c r="C30" s="7" t="n"/>
      <c r="D30" s="7" t="n"/>
      <c r="E30" s="7" t="n"/>
      <c r="F30" s="7" t="n"/>
      <c r="G30" s="7" t="n"/>
      <c r="H30" s="7" t="n"/>
    </row>
    <row r="31" ht="15.75" customHeight="1" s="164">
      <c r="A31" s="4" t="inlineStr">
        <is>
          <t>SLO Dashboards</t>
        </is>
      </c>
      <c r="B31" s="11" t="inlineStr">
        <is>
          <t>Yes</t>
        </is>
      </c>
      <c r="C31" s="5" t="n"/>
      <c r="D31" s="5" t="n"/>
      <c r="E31" s="5" t="n"/>
      <c r="F31" s="5" t="n"/>
      <c r="G31" s="5" t="n"/>
      <c r="H31" s="5" t="n"/>
    </row>
    <row r="32" ht="15.75" customHeight="1" s="164">
      <c r="A32" s="6" t="inlineStr">
        <is>
          <t>Reliability Reporting</t>
        </is>
      </c>
      <c r="B32" s="12" t="inlineStr">
        <is>
          <t>Yes</t>
        </is>
      </c>
      <c r="C32" s="7" t="n"/>
      <c r="D32" s="7" t="n"/>
      <c r="E32" s="7" t="n"/>
      <c r="F32" s="7" t="n"/>
      <c r="G32" s="7" t="n"/>
      <c r="H32" s="7" t="n"/>
    </row>
    <row r="33" ht="15.75" customHeight="1" s="164">
      <c r="A33" s="4" t="inlineStr">
        <is>
          <t>Premium Onboarding</t>
        </is>
      </c>
      <c r="B33" s="11" t="inlineStr">
        <is>
          <t>Yes</t>
        </is>
      </c>
      <c r="C33" s="5" t="n"/>
      <c r="D33" s="5" t="n"/>
      <c r="E33" s="5" t="n"/>
      <c r="F33" s="5" t="n"/>
      <c r="G33" s="5" t="n"/>
      <c r="H33" s="5" t="n"/>
    </row>
    <row r="34" ht="15.75" customHeight="1" s="164">
      <c r="A34" s="6" t="inlineStr">
        <is>
          <t>Dedicated Rollout Planning</t>
        </is>
      </c>
      <c r="B34" s="12" t="inlineStr">
        <is>
          <t>Yes</t>
        </is>
      </c>
      <c r="C34" s="7" t="n"/>
      <c r="D34" s="7" t="n"/>
      <c r="E34" s="7" t="n"/>
      <c r="F34" s="7" t="n"/>
      <c r="G34" s="7" t="n"/>
      <c r="H34" s="7" t="n"/>
    </row>
    <row r="35" ht="7.5" customHeight="1" s="164">
      <c r="A35" s="67" t="n"/>
    </row>
    <row r="36" ht="19.5" customHeight="1" s="164">
      <c r="A36" s="77" t="inlineStr">
        <is>
          <t xml:space="preserve">  LIMITED / ADD-ON IN COMMAND</t>
        </is>
      </c>
    </row>
    <row r="37" ht="31.5" customHeight="1" s="164">
      <c r="A37" s="3" t="inlineStr">
        <is>
          <t>Capability</t>
        </is>
      </c>
      <c r="B37" s="3" t="inlineStr">
        <is>
          <t>Status</t>
        </is>
      </c>
      <c r="C37" s="3" t="inlineStr">
        <is>
          <t>Price Low</t>
        </is>
      </c>
      <c r="D37" s="3" t="inlineStr">
        <is>
          <t>Price High</t>
        </is>
      </c>
      <c r="E37" s="3" t="inlineStr">
        <is>
          <t>Type</t>
        </is>
      </c>
      <c r="F37" s="3" t="inlineStr">
        <is>
          <t>Notes</t>
        </is>
      </c>
      <c r="G37" s="3" t="n"/>
      <c r="H37" s="3" t="n"/>
    </row>
    <row r="38" ht="15.75" customHeight="1" s="164">
      <c r="A38" s="4" t="inlineStr">
        <is>
          <t>Multi-Site Deployment Support</t>
        </is>
      </c>
      <c r="B38" s="14" t="inlineStr">
        <is>
          <t>Limited</t>
        </is>
      </c>
      <c r="C38" s="9" t="n">
        <v>25000</v>
      </c>
      <c r="D38" s="9" t="n">
        <v>100000</v>
      </c>
      <c r="E38" s="5" t="inlineStr">
        <is>
          <t>One-time</t>
        </is>
      </c>
      <c r="F38" s="5" t="n"/>
    </row>
    <row r="39" ht="15.75" customHeight="1" s="164">
      <c r="A39" s="6" t="inlineStr">
        <is>
          <t>Custom Security / Compliance Review</t>
        </is>
      </c>
      <c r="B39" s="13" t="inlineStr">
        <is>
          <t>Limited</t>
        </is>
      </c>
      <c r="C39" s="10" t="n">
        <v>15000</v>
      </c>
      <c r="D39" s="10" t="n">
        <v>75000</v>
      </c>
      <c r="E39" s="7" t="inlineStr">
        <is>
          <t>One-time</t>
        </is>
      </c>
      <c r="F39" s="7" t="n"/>
    </row>
    <row r="40" ht="15.75" customHeight="1" s="164">
      <c r="A40" s="4" t="inlineStr">
        <is>
          <t>Custom CAD Connector</t>
        </is>
      </c>
      <c r="B40" s="16" t="inlineStr">
        <is>
          <t>Add-on</t>
        </is>
      </c>
      <c r="C40" s="9" t="n">
        <v>50000</v>
      </c>
      <c r="D40" s="9" t="n">
        <v>250000</v>
      </c>
      <c r="E40" s="5" t="inlineStr">
        <is>
          <t>One-time</t>
        </is>
      </c>
      <c r="F40" s="5" t="n"/>
    </row>
    <row r="41" ht="15.75" customHeight="1" s="164">
      <c r="A41" s="6" t="inlineStr">
        <is>
          <t>Dedicated Support Engineer</t>
        </is>
      </c>
      <c r="B41" s="15" t="inlineStr">
        <is>
          <t>Add-on</t>
        </is>
      </c>
      <c r="C41" s="10" t="n">
        <v>8000</v>
      </c>
      <c r="D41" s="10" t="n">
        <v>20000</v>
      </c>
      <c r="E41" s="7" t="inlineStr">
        <is>
          <t>/ month</t>
        </is>
      </c>
      <c r="F41" s="7" t="n"/>
    </row>
    <row r="42" ht="15.75" customHeight="1" s="164">
      <c r="A42" s="4" t="inlineStr">
        <is>
          <t>Onsite Quarterly Review</t>
        </is>
      </c>
      <c r="B42" s="16" t="inlineStr">
        <is>
          <t>Add-on</t>
        </is>
      </c>
      <c r="C42" s="9" t="n">
        <v>7500</v>
      </c>
      <c r="D42" s="9" t="n">
        <v>20000</v>
      </c>
      <c r="E42" s="5" t="inlineStr">
        <is>
          <t>Per visit</t>
        </is>
      </c>
      <c r="F42" s="5" t="n"/>
    </row>
    <row r="43" ht="15.75" customHeight="1" s="164">
      <c r="A43" s="6" t="inlineStr">
        <is>
          <t>Advanced Data Retention Architecture</t>
        </is>
      </c>
      <c r="B43" s="15" t="inlineStr">
        <is>
          <t>Add-on</t>
        </is>
      </c>
      <c r="C43" s="10" t="n">
        <v>10000</v>
      </c>
      <c r="D43" s="10" t="n">
        <v>75000</v>
      </c>
      <c r="E43" s="7" t="inlineStr">
        <is>
          <t>One-time</t>
        </is>
      </c>
      <c r="F43" s="7" t="n"/>
    </row>
    <row r="44" ht="7.5" customHeight="1" s="164">
      <c r="A44" s="67" t="n"/>
    </row>
    <row r="45" ht="18" customHeight="1" s="164">
      <c r="A45" s="79" t="inlineStr">
        <is>
          <t xml:space="preserve">  SALES POSITIONING — Command Plan</t>
        </is>
      </c>
    </row>
    <row r="46" ht="15" customHeight="1" s="164">
      <c r="A46" s="75" t="inlineStr">
        <is>
          <t xml:space="preserve">    Best for proving value during high-complexity incidents and cross-team response.</t>
        </is>
      </c>
    </row>
    <row r="47" ht="15" customHeight="1" s="164">
      <c r="A47" s="75" t="inlineStr">
        <is>
          <t xml:space="preserve">    Positions NexCort iQ as a command and coordination platform, not just a dispatcher tool.</t>
        </is>
      </c>
    </row>
    <row r="48" ht="15" customHeight="1" s="164">
      <c r="A48" s="75" t="inlineStr">
        <is>
          <t xml:space="preserve">    Emphasize: war rooms, runbooks, and command dashboards for supervisors and leadership.</t>
        </is>
      </c>
    </row>
    <row r="49" ht="15.75" customHeight="1" s="164">
      <c r="A49" s="76" t="inlineStr">
        <is>
          <t>⚠  INTERNAL USE ONLY</t>
        </is>
      </c>
    </row>
  </sheetData>
  <mergeCells count="16">
    <mergeCell ref="A18:H18"/>
    <mergeCell ref="A45:H45"/>
    <mergeCell ref="A48:H48"/>
    <mergeCell ref="A3:H3"/>
    <mergeCell ref="A5:H5"/>
    <mergeCell ref="A35:H35"/>
    <mergeCell ref="A2:H2"/>
    <mergeCell ref="A19:H19"/>
    <mergeCell ref="A49:H49"/>
    <mergeCell ref="A44:H44"/>
    <mergeCell ref="A47:H47"/>
    <mergeCell ref="A1:H1"/>
    <mergeCell ref="A46:H46"/>
    <mergeCell ref="A14:H14"/>
    <mergeCell ref="A36:H36"/>
    <mergeCell ref="A13:H1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42"/>
  <sheetViews>
    <sheetView showGridLines="0" zoomScaleNormal="100" workbookViewId="0">
      <pane ySplit="4" topLeftCell="A5" activePane="bottomLeft" state="frozen"/>
      <selection pane="bottomLeft" activeCell="I17" sqref="I17"/>
    </sheetView>
  </sheetViews>
  <sheetFormatPr baseColWidth="10" defaultColWidth="8.6640625" defaultRowHeight="15"/>
  <cols>
    <col width="42" customWidth="1" style="164" min="1" max="1"/>
    <col width="24" customWidth="1" style="164" min="2" max="6"/>
  </cols>
  <sheetData>
    <row r="1" ht="30" customHeight="1" s="164">
      <c r="A1" s="73" t="inlineStr">
        <is>
          <t>NEXCORT IQ — INTERNAL PRICING GUIDE</t>
        </is>
      </c>
    </row>
    <row r="2" ht="24" customHeight="1" s="164">
      <c r="A2" s="78" t="inlineStr">
        <is>
          <t>ENTERPRISE / STATEWIDE</t>
        </is>
      </c>
    </row>
    <row r="3" ht="18" customHeight="1" s="164">
      <c r="A3" s="74" t="inlineStr">
        <is>
          <t>Multi-agency · 50–500+ seats · Statewide programs · Custom architecture · Dedicated infrastructure</t>
        </is>
      </c>
    </row>
    <row r="5" ht="19.5" customHeight="1" s="164">
      <c r="A5" s="77" t="inlineStr">
        <is>
          <t xml:space="preserve">  BASE SUBSCRIPTION FEES</t>
        </is>
      </c>
    </row>
    <row r="6" ht="31.5" customHeight="1" s="164">
      <c r="A6" s="3" t="inlineStr">
        <is>
          <t>Deployment Size</t>
        </is>
      </c>
      <c r="B6" s="3" t="inlineStr">
        <is>
          <t>Agencies</t>
        </is>
      </c>
      <c r="C6" s="3" t="inlineStr">
        <is>
          <t>Seats</t>
        </is>
      </c>
      <c r="D6" s="3" t="inlineStr">
        <is>
          <t>Monthly Fee Range</t>
        </is>
      </c>
      <c r="E6" s="3" t="inlineStr">
        <is>
          <t>Annual Fee Range</t>
        </is>
      </c>
      <c r="F6" s="3" t="inlineStr">
        <is>
          <t>Notes</t>
        </is>
      </c>
    </row>
    <row r="7" ht="15.75" customHeight="1" s="164">
      <c r="A7" s="4" t="inlineStr">
        <is>
          <t>Small Enterprise</t>
        </is>
      </c>
      <c r="B7" s="5" t="inlineStr">
        <is>
          <t>2–5</t>
        </is>
      </c>
      <c r="C7" s="5" t="inlineStr">
        <is>
          <t>50–150</t>
        </is>
      </c>
      <c r="D7" s="5" t="inlineStr">
        <is>
          <t>$60K–$100K / month</t>
        </is>
      </c>
      <c r="E7" s="5" t="inlineStr">
        <is>
          <t>$720K–$1.2M / year</t>
        </is>
      </c>
      <c r="F7" s="5" t="n"/>
    </row>
    <row r="8" ht="15.75" customHeight="1" s="164">
      <c r="A8" s="6" t="inlineStr">
        <is>
          <t>Medium Enterprise</t>
        </is>
      </c>
      <c r="B8" s="7" t="inlineStr">
        <is>
          <t>6–15</t>
        </is>
      </c>
      <c r="C8" s="7" t="inlineStr">
        <is>
          <t>150–300</t>
        </is>
      </c>
      <c r="D8" s="7" t="inlineStr">
        <is>
          <t>$100K–$175K / month</t>
        </is>
      </c>
      <c r="E8" s="7" t="inlineStr">
        <is>
          <t>$1.2M–$2.1M / year</t>
        </is>
      </c>
      <c r="F8" s="7" t="n"/>
    </row>
    <row r="9" ht="15.75" customHeight="1" s="164">
      <c r="A9" s="4" t="inlineStr">
        <is>
          <t>Large Enterprise</t>
        </is>
      </c>
      <c r="B9" s="5" t="inlineStr">
        <is>
          <t>16–30</t>
        </is>
      </c>
      <c r="C9" s="5" t="inlineStr">
        <is>
          <t>300–500</t>
        </is>
      </c>
      <c r="D9" s="5" t="inlineStr">
        <is>
          <t>$175K–$250K / month</t>
        </is>
      </c>
      <c r="E9" s="5" t="inlineStr">
        <is>
          <t>$2.1M–$3M / year</t>
        </is>
      </c>
      <c r="F9" s="5" t="n"/>
    </row>
    <row r="10" ht="15.75" customHeight="1" s="164">
      <c r="A10" s="6" t="inlineStr">
        <is>
          <t>Statewide</t>
        </is>
      </c>
      <c r="B10" s="7" t="inlineStr">
        <is>
          <t>30+</t>
        </is>
      </c>
      <c r="C10" s="7" t="inlineStr">
        <is>
          <t>500+</t>
        </is>
      </c>
      <c r="D10" s="7" t="inlineStr">
        <is>
          <t>$250K+ / month</t>
        </is>
      </c>
      <c r="E10" s="7" t="inlineStr">
        <is>
          <t>$3M–$10M+ / year</t>
        </is>
      </c>
      <c r="F10" s="7" t="inlineStr">
        <is>
          <t>Custom contract</t>
        </is>
      </c>
    </row>
    <row r="11" ht="7.5" customHeight="1" s="164">
      <c r="A11" s="67" t="n"/>
    </row>
    <row r="12" ht="19.5" customHeight="1" s="164">
      <c r="A12" s="77" t="inlineStr">
        <is>
          <t xml:space="preserve">  SEAT OVERAGE</t>
        </is>
      </c>
    </row>
    <row r="13" ht="31.5" customHeight="1" s="164">
      <c r="A13" s="3" t="inlineStr">
        <is>
          <t>Seat Type</t>
        </is>
      </c>
      <c r="B13" s="3" t="inlineStr">
        <is>
          <t>Overage Rate</t>
        </is>
      </c>
      <c r="C13" s="3" t="inlineStr">
        <is>
          <t>Notes</t>
        </is>
      </c>
      <c r="D13" s="3" t="n"/>
      <c r="E13" s="3" t="n"/>
      <c r="F13" s="3" t="n"/>
    </row>
    <row r="14" ht="15.75" customHeight="1" s="164">
      <c r="A14" s="6" t="inlineStr">
        <is>
          <t>Dispatcher Seats</t>
        </is>
      </c>
      <c r="B14" s="7" t="inlineStr">
        <is>
          <t>$75–$100 / seat / month</t>
        </is>
      </c>
      <c r="C14" s="7" t="inlineStr">
        <is>
          <t>Negotiated per contract</t>
        </is>
      </c>
      <c r="D14" s="7" t="n"/>
      <c r="E14" s="7" t="n"/>
      <c r="F14" s="7" t="n"/>
    </row>
    <row r="15" ht="15.75" customHeight="1" s="164">
      <c r="A15" s="4" t="inlineStr">
        <is>
          <t>Admin / Supervisor Seats</t>
        </is>
      </c>
      <c r="B15" s="5" t="inlineStr">
        <is>
          <t>Custom</t>
        </is>
      </c>
      <c r="C15" s="5" t="inlineStr">
        <is>
          <t>Per SOW</t>
        </is>
      </c>
      <c r="D15" s="5" t="n"/>
      <c r="E15" s="5" t="n"/>
      <c r="F15" s="5" t="n"/>
    </row>
    <row r="16" ht="7.5" customHeight="1" s="164">
      <c r="A16" s="67" t="n"/>
    </row>
    <row r="17" ht="19.5" customHeight="1" s="164">
      <c r="A17" s="77" t="inlineStr">
        <is>
          <t xml:space="preserve">  SETUP &amp; IMPLEMENTATION</t>
        </is>
      </c>
    </row>
    <row r="18" ht="31.5" customHeight="1" s="164">
      <c r="A18" s="3" t="inlineStr">
        <is>
          <t>Item</t>
        </is>
      </c>
      <c r="B18" s="3" t="inlineStr">
        <is>
          <t>Low</t>
        </is>
      </c>
      <c r="C18" s="3" t="inlineStr">
        <is>
          <t>High</t>
        </is>
      </c>
      <c r="D18" s="3" t="inlineStr">
        <is>
          <t>Notes</t>
        </is>
      </c>
      <c r="E18" s="3" t="n"/>
      <c r="F18" s="3" t="n"/>
    </row>
    <row r="19" ht="15.75" customHeight="1" s="164">
      <c r="A19" s="4" t="inlineStr">
        <is>
          <t>Setup / Implementation</t>
        </is>
      </c>
      <c r="B19" s="17" t="n">
        <v>20000</v>
      </c>
      <c r="C19" s="17" t="n">
        <v>75000</v>
      </c>
      <c r="D19" s="5" t="inlineStr">
        <is>
          <t>Per SOW — wide range</t>
        </is>
      </c>
      <c r="E19" s="5" t="n"/>
      <c r="F19" s="5" t="n"/>
    </row>
    <row r="20" ht="15.75" customHeight="1" s="164">
      <c r="A20" s="6" t="inlineStr">
        <is>
          <t>Multi-Site Deployment Support</t>
        </is>
      </c>
      <c r="B20" s="18" t="n">
        <v>25000</v>
      </c>
      <c r="C20" s="18" t="n">
        <v>100000</v>
      </c>
      <c r="D20" s="7" t="inlineStr">
        <is>
          <t>One-time per scope</t>
        </is>
      </c>
      <c r="E20" s="7" t="n"/>
      <c r="F20" s="7" t="n"/>
    </row>
    <row r="21" ht="15.75" customHeight="1" s="164">
      <c r="A21" s="4" t="inlineStr">
        <is>
          <t>Custom Security / Compliance Review</t>
        </is>
      </c>
      <c r="B21" s="17" t="n">
        <v>15000</v>
      </c>
      <c r="C21" s="17" t="n">
        <v>75000</v>
      </c>
      <c r="D21" s="5" t="inlineStr">
        <is>
          <t>One-time</t>
        </is>
      </c>
      <c r="E21" s="5" t="n"/>
      <c r="F21" s="5" t="n"/>
    </row>
    <row r="22" ht="15.75" customHeight="1" s="164">
      <c r="A22" s="6" t="inlineStr">
        <is>
          <t>Advanced Rollout Services</t>
        </is>
      </c>
      <c r="B22" s="18" t="inlineStr">
        <is>
          <t>Custom</t>
        </is>
      </c>
      <c r="C22" s="18" t="inlineStr">
        <is>
          <t>Custom</t>
        </is>
      </c>
      <c r="D22" s="7" t="inlineStr">
        <is>
          <t>SOW required</t>
        </is>
      </c>
      <c r="E22" s="7" t="n"/>
      <c r="F22" s="7" t="n"/>
    </row>
    <row r="23" ht="7.5" customHeight="1" s="164">
      <c r="A23" s="67" t="n"/>
    </row>
    <row r="24" ht="19.5" customHeight="1" s="164">
      <c r="A24" s="77" t="inlineStr">
        <is>
          <t xml:space="preserve">  INCLUDED CAPABILITIES</t>
        </is>
      </c>
    </row>
    <row r="25" ht="31.5" customHeight="1" s="164">
      <c r="A25" s="3" t="inlineStr">
        <is>
          <t>Capability</t>
        </is>
      </c>
      <c r="B25" s="3" t="inlineStr">
        <is>
          <t>Included?</t>
        </is>
      </c>
      <c r="C25" s="3" t="inlineStr">
        <is>
          <t>Notes</t>
        </is>
      </c>
      <c r="D25" s="3" t="n"/>
      <c r="E25" s="3" t="n"/>
      <c r="F25" s="3" t="n"/>
    </row>
    <row r="26" ht="15.75" customHeight="1" s="164">
      <c r="A26" s="4" t="inlineStr">
        <is>
          <t>All Command capabilities (as applicable)</t>
        </is>
      </c>
      <c r="B26" s="11" t="inlineStr">
        <is>
          <t>Yes</t>
        </is>
      </c>
      <c r="C26" s="5" t="n"/>
      <c r="D26" s="5" t="n"/>
      <c r="E26" s="5" t="n"/>
      <c r="F26" s="5" t="n"/>
    </row>
    <row r="27" ht="15.75" customHeight="1" s="164">
      <c r="A27" s="6" t="inlineStr">
        <is>
          <t>Multi-Agency Architecture</t>
        </is>
      </c>
      <c r="B27" s="12" t="inlineStr">
        <is>
          <t>Yes</t>
        </is>
      </c>
      <c r="C27" s="7" t="n"/>
      <c r="D27" s="7" t="n"/>
      <c r="E27" s="7" t="n"/>
      <c r="F27" s="7" t="n"/>
    </row>
    <row r="28" ht="15.75" customHeight="1" s="164">
      <c r="A28" s="4" t="inlineStr">
        <is>
          <t>Multi-Site Deployment Planning</t>
        </is>
      </c>
      <c r="B28" s="11" t="inlineStr">
        <is>
          <t>Yes</t>
        </is>
      </c>
      <c r="C28" s="5" t="n"/>
      <c r="D28" s="5" t="n"/>
      <c r="E28" s="5" t="n"/>
      <c r="F28" s="5" t="n"/>
    </row>
    <row r="29" ht="15.75" customHeight="1" s="164">
      <c r="A29" s="6" t="inlineStr">
        <is>
          <t>Custom Integrations</t>
        </is>
      </c>
      <c r="B29" s="12" t="inlineStr">
        <is>
          <t>Yes</t>
        </is>
      </c>
      <c r="C29" s="7" t="inlineStr">
        <is>
          <t>Per SOW</t>
        </is>
      </c>
      <c r="D29" s="7" t="n"/>
      <c r="E29" s="7" t="n"/>
      <c r="F29" s="7" t="n"/>
    </row>
    <row r="30" ht="15.75" customHeight="1" s="164">
      <c r="A30" s="4" t="inlineStr">
        <is>
          <t>Custom Retention / Security Options</t>
        </is>
      </c>
      <c r="B30" s="11" t="inlineStr">
        <is>
          <t>Yes</t>
        </is>
      </c>
      <c r="C30" s="5" t="n"/>
      <c r="D30" s="5" t="n"/>
      <c r="E30" s="5" t="n"/>
      <c r="F30" s="5" t="n"/>
    </row>
    <row r="31" ht="15.75" customHeight="1" s="164">
      <c r="A31" s="6" t="inlineStr">
        <is>
          <t>Advanced Rollout Services</t>
        </is>
      </c>
      <c r="B31" s="12" t="inlineStr">
        <is>
          <t>Yes</t>
        </is>
      </c>
      <c r="C31" s="7" t="n"/>
      <c r="D31" s="7" t="n"/>
      <c r="E31" s="7" t="n"/>
      <c r="F31" s="7" t="n"/>
    </row>
    <row r="32" ht="15.75" customHeight="1" s="164">
      <c r="A32" s="4" t="inlineStr">
        <is>
          <t>Procurement and Compliance Support</t>
        </is>
      </c>
      <c r="B32" s="11" t="inlineStr">
        <is>
          <t>Yes</t>
        </is>
      </c>
      <c r="C32" s="5" t="n"/>
      <c r="D32" s="5" t="n"/>
      <c r="E32" s="5" t="n"/>
      <c r="F32" s="5" t="n"/>
    </row>
    <row r="33" ht="15.75" customHeight="1" s="164">
      <c r="A33" s="6" t="inlineStr">
        <is>
          <t>Tailored Deployment Architecture</t>
        </is>
      </c>
      <c r="B33" s="12" t="inlineStr">
        <is>
          <t>Yes</t>
        </is>
      </c>
      <c r="C33" s="7" t="n"/>
      <c r="D33" s="7" t="n"/>
      <c r="E33" s="7" t="n"/>
      <c r="F33" s="7" t="n"/>
    </row>
    <row r="34" ht="15.75" customHeight="1" s="164">
      <c r="A34" s="4" t="inlineStr">
        <is>
          <t>Dedicated Architecture Planning</t>
        </is>
      </c>
      <c r="B34" s="11" t="inlineStr">
        <is>
          <t>Yes</t>
        </is>
      </c>
      <c r="C34" s="5" t="n"/>
      <c r="D34" s="5" t="n"/>
      <c r="E34" s="5" t="n"/>
      <c r="F34" s="5" t="n"/>
    </row>
    <row r="35" ht="15.75" customHeight="1" s="164">
      <c r="A35" s="6" t="inlineStr">
        <is>
          <t>Executive Reporting</t>
        </is>
      </c>
      <c r="B35" s="12" t="inlineStr">
        <is>
          <t>Yes</t>
        </is>
      </c>
      <c r="C35" s="7" t="n"/>
      <c r="D35" s="7" t="n"/>
      <c r="E35" s="7" t="n"/>
      <c r="F35" s="7" t="n"/>
    </row>
    <row r="36" ht="15.75" customHeight="1" s="164">
      <c r="A36" s="4" t="inlineStr">
        <is>
          <t>Custom SOW</t>
        </is>
      </c>
      <c r="B36" s="11" t="inlineStr">
        <is>
          <t>Yes</t>
        </is>
      </c>
      <c r="C36" s="5" t="n"/>
      <c r="D36" s="5" t="n"/>
      <c r="E36" s="5" t="n"/>
      <c r="F36" s="5" t="n"/>
    </row>
    <row r="37" ht="7.5" customHeight="1" s="164">
      <c r="A37" s="67" t="n"/>
    </row>
    <row r="38" ht="18" customHeight="1" s="164">
      <c r="A38" s="79" t="inlineStr">
        <is>
          <t xml:space="preserve">  SALES POSITIONING — Enterprise / Statewide</t>
        </is>
      </c>
    </row>
    <row r="39" ht="15" customHeight="1" s="164">
      <c r="A39" s="75" t="inlineStr">
        <is>
          <t xml:space="preserve">    Best sales angle: NexCort iQ becomes a long-term public safety modernization platform.</t>
        </is>
      </c>
    </row>
    <row r="40" ht="15" customHeight="1" s="164">
      <c r="A40" s="75" t="inlineStr">
        <is>
          <t xml:space="preserve">    Strong fit for grant-funded programs, large procurements, and regional emergency management transformation.</t>
        </is>
      </c>
    </row>
    <row r="41" ht="15" customHeight="1" s="164">
      <c r="A41" s="75" t="inlineStr">
        <is>
          <t xml:space="preserve">    Every Enterprise deal requires a custom SOW — do not quote fixed prices without Sales Director sign-off.</t>
        </is>
      </c>
    </row>
    <row r="42" ht="15.75" customHeight="1" s="164">
      <c r="A42" s="76" t="inlineStr">
        <is>
          <t>⚠  INTERNAL USE ONLY — Enterprise pricing requires VP Sales + Sales Director approval before quoting.</t>
        </is>
      </c>
    </row>
  </sheetData>
  <mergeCells count="16">
    <mergeCell ref="A24:F24"/>
    <mergeCell ref="A2:F2"/>
    <mergeCell ref="A38:F38"/>
    <mergeCell ref="A41:F41"/>
    <mergeCell ref="A42:F42"/>
    <mergeCell ref="A3:F3"/>
    <mergeCell ref="A1:F1"/>
    <mergeCell ref="A5:F5"/>
    <mergeCell ref="A16:H16"/>
    <mergeCell ref="A11:H11"/>
    <mergeCell ref="A17:F17"/>
    <mergeCell ref="A12:F12"/>
    <mergeCell ref="A37:H37"/>
    <mergeCell ref="A23:H23"/>
    <mergeCell ref="A40:F40"/>
    <mergeCell ref="A39:F39"/>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47"/>
  <sheetViews>
    <sheetView showGridLines="0" zoomScaleNormal="100" workbookViewId="0">
      <pane ySplit="4" topLeftCell="A14" activePane="bottomLeft" state="frozen"/>
      <selection pane="bottomLeft" activeCell="D17" sqref="D17"/>
    </sheetView>
  </sheetViews>
  <sheetFormatPr baseColWidth="10" defaultColWidth="8.6640625" defaultRowHeight="15"/>
  <cols>
    <col width="44" customWidth="1" style="164" min="1" max="1"/>
    <col width="22" customWidth="1" style="164" min="2" max="2"/>
    <col width="36.33203125" customWidth="1" style="161" min="3" max="3"/>
    <col width="22" customWidth="1" style="164" min="4" max="7"/>
  </cols>
  <sheetData>
    <row r="1" ht="30" customHeight="1" s="164">
      <c r="A1" s="73" t="inlineStr">
        <is>
          <t>NEXCORT IQ — INTERNAL PRICING GUIDE</t>
        </is>
      </c>
    </row>
    <row r="2" ht="24" customHeight="1" s="164">
      <c r="A2" s="78" t="inlineStr">
        <is>
          <t>CAD INTEGRATION ADD-ONS</t>
        </is>
      </c>
    </row>
    <row r="3" ht="18" customHeight="1" s="164">
      <c r="A3" s="74" t="inlineStr">
        <is>
          <t>One-time fees · Complexity-tiered · NexCort iQ enhances CAD — it does not replace it</t>
        </is>
      </c>
    </row>
    <row r="5" ht="19.5" customHeight="1" s="164">
      <c r="A5" s="77" t="inlineStr">
        <is>
          <t xml:space="preserve">  DISCOVERY &amp; PLANNING</t>
        </is>
      </c>
    </row>
    <row r="6" ht="31.5" customHeight="1" s="164">
      <c r="A6" s="3" t="inlineStr">
        <is>
          <t>Service</t>
        </is>
      </c>
      <c r="B6" s="3" t="inlineStr">
        <is>
          <t>Price Low</t>
        </is>
      </c>
      <c r="C6" s="156" t="inlineStr">
        <is>
          <t>Price High</t>
        </is>
      </c>
      <c r="D6" s="3" t="inlineStr">
        <is>
          <t>Notes</t>
        </is>
      </c>
      <c r="E6" s="3" t="n"/>
      <c r="F6" s="3" t="n"/>
      <c r="G6" s="3" t="n"/>
    </row>
    <row r="7" ht="15.75" customHeight="1" s="164">
      <c r="A7" s="4" t="inlineStr">
        <is>
          <t>Basic CAD Discovery Workshop</t>
        </is>
      </c>
      <c r="B7" s="9" t="n">
        <v>7500</v>
      </c>
      <c r="C7" s="157" t="n">
        <v>7500</v>
      </c>
      <c r="D7" s="5" t="inlineStr">
        <is>
          <t>Single CAD, standard environment</t>
        </is>
      </c>
      <c r="E7" s="5" t="n"/>
      <c r="F7" s="5" t="n"/>
      <c r="G7" s="5" t="n"/>
    </row>
    <row r="8" ht="15.75" customHeight="1" s="164">
      <c r="A8" s="6" t="inlineStr">
        <is>
          <t>Standard CAD Discovery Workshop</t>
        </is>
      </c>
      <c r="B8" s="10" t="n">
        <v>10000</v>
      </c>
      <c r="C8" s="158" t="n">
        <v>10000</v>
      </c>
      <c r="D8" s="7" t="inlineStr">
        <is>
          <t>Recommended starting point</t>
        </is>
      </c>
      <c r="E8" s="7" t="n"/>
      <c r="F8" s="7" t="n"/>
      <c r="G8" s="7" t="n"/>
    </row>
    <row r="9" ht="15.75" customHeight="1" s="164">
      <c r="A9" s="4" t="inlineStr">
        <is>
          <t>Advanced CAD Discovery Workshop</t>
        </is>
      </c>
      <c r="B9" s="9" t="n">
        <v>15000</v>
      </c>
      <c r="C9" s="157" t="n">
        <v>15000</v>
      </c>
      <c r="D9" s="5" t="inlineStr">
        <is>
          <t>Complex multi-CAD environments</t>
        </is>
      </c>
      <c r="E9" s="5" t="n"/>
      <c r="F9" s="5" t="n"/>
      <c r="G9" s="5" t="n"/>
    </row>
    <row r="10" ht="15.75" customHeight="1" s="164">
      <c r="A10" s="6" t="inlineStr">
        <is>
          <t>CAD Field Mapping Document</t>
        </is>
      </c>
      <c r="B10" s="10" t="n">
        <v>7500</v>
      </c>
      <c r="C10" s="158" t="n">
        <v>20000</v>
      </c>
      <c r="D10" s="7" t="n"/>
      <c r="E10" s="7" t="n"/>
      <c r="F10" s="7" t="n"/>
      <c r="G10" s="7" t="n"/>
    </row>
    <row r="11" ht="15.75" customHeight="1" s="164">
      <c r="A11" s="4" t="inlineStr">
        <is>
          <t>CAD Integration Audit Logging Package</t>
        </is>
      </c>
      <c r="B11" s="9" t="n">
        <v>10000</v>
      </c>
      <c r="C11" s="157" t="n">
        <v>35000</v>
      </c>
      <c r="D11" s="5" t="n"/>
      <c r="E11" s="5" t="n"/>
      <c r="F11" s="5" t="n"/>
      <c r="G11" s="5" t="n"/>
    </row>
    <row r="12" ht="15.75" customHeight="1" s="164">
      <c r="A12" s="6" t="inlineStr">
        <is>
          <t>CAD Rollback and Failover Planning</t>
        </is>
      </c>
      <c r="B12" s="10" t="n">
        <v>10000</v>
      </c>
      <c r="C12" s="158" t="n">
        <v>30000</v>
      </c>
      <c r="D12" s="7" t="n"/>
      <c r="E12" s="7" t="n"/>
      <c r="F12" s="7" t="n"/>
      <c r="G12" s="7" t="n"/>
    </row>
    <row r="13" ht="7.5" customHeight="1" s="164">
      <c r="A13" s="67" t="n"/>
    </row>
    <row r="14" ht="19.5" customHeight="1" s="164">
      <c r="A14" s="77" t="inlineStr">
        <is>
          <t xml:space="preserve">  CAD VENDOR COORDINATION</t>
        </is>
      </c>
    </row>
    <row r="15" ht="31.5" customHeight="1" s="164">
      <c r="A15" s="3" t="inlineStr">
        <is>
          <t>Tier</t>
        </is>
      </c>
      <c r="B15" s="3" t="inlineStr">
        <is>
          <t>Price</t>
        </is>
      </c>
      <c r="C15" s="156" t="inlineStr">
        <is>
          <t>Description</t>
        </is>
      </c>
      <c r="D15" s="3" t="n"/>
      <c r="E15" s="3" t="n"/>
      <c r="F15" s="3" t="n"/>
      <c r="G15" s="3" t="n"/>
    </row>
    <row r="16" ht="15.75" customHeight="1" s="164">
      <c r="A16" s="4" t="inlineStr">
        <is>
          <t>Basic Vendor Coordination</t>
        </is>
      </c>
      <c r="B16" s="9" t="n">
        <v>8000</v>
      </c>
      <c r="C16" s="159" t="inlineStr">
        <is>
          <t>Single CAD vendor, standard API</t>
        </is>
      </c>
      <c r="D16" s="5" t="n"/>
      <c r="E16" s="5" t="n"/>
      <c r="F16" s="5" t="n"/>
      <c r="G16" s="5" t="n"/>
    </row>
    <row r="17" ht="15.75" customHeight="1" s="164">
      <c r="A17" s="6" t="inlineStr">
        <is>
          <t>Standard Vendor Coordination</t>
        </is>
      </c>
      <c r="B17" s="10" t="n">
        <v>11000</v>
      </c>
      <c r="C17" s="160" t="inlineStr">
        <is>
          <t>Moderate complexity</t>
        </is>
      </c>
      <c r="D17" s="7" t="n"/>
      <c r="E17" s="7" t="n"/>
      <c r="F17" s="7" t="n"/>
      <c r="G17" s="7" t="n"/>
    </row>
    <row r="18" ht="15.75" customHeight="1" s="164">
      <c r="A18" s="4" t="inlineStr">
        <is>
          <t>Premium Vendor Coordination</t>
        </is>
      </c>
      <c r="B18" s="9" t="n">
        <v>16000</v>
      </c>
      <c r="C18" s="159" t="inlineStr">
        <is>
          <t>Multi-vendor or legacy CAD</t>
        </is>
      </c>
      <c r="D18" s="5" t="n"/>
      <c r="E18" s="5" t="n"/>
      <c r="F18" s="5" t="n"/>
      <c r="G18" s="5" t="n"/>
    </row>
    <row r="19" ht="15.75" customHeight="1" s="164">
      <c r="A19" s="6" t="inlineStr">
        <is>
          <t>CAD Sandbox Testing Package</t>
        </is>
      </c>
      <c r="B19" s="10" t="n">
        <v>6000</v>
      </c>
      <c r="C19" s="160" t="inlineStr">
        <is>
          <t>Included or $15K–$50K depending on scope</t>
        </is>
      </c>
      <c r="D19" s="7" t="n"/>
      <c r="E19" s="7" t="n"/>
      <c r="F19" s="7" t="n"/>
      <c r="G19" s="7" t="n"/>
    </row>
    <row r="20" ht="7.5" customHeight="1" s="164">
      <c r="A20" s="67" t="n"/>
    </row>
    <row r="21" ht="19.5" customHeight="1" s="164">
      <c r="A21" s="77" t="inlineStr">
        <is>
          <t xml:space="preserve">  READ-ONLY INTEGRATION</t>
        </is>
      </c>
    </row>
    <row r="22" ht="31.5" customHeight="1" s="164">
      <c r="A22" s="3" t="inlineStr">
        <is>
          <t>Complexity Tier</t>
        </is>
      </c>
      <c r="B22" s="3" t="inlineStr">
        <is>
          <t>One-Time Fee</t>
        </is>
      </c>
      <c r="C22" s="156" t="inlineStr">
        <is>
          <t>Description</t>
        </is>
      </c>
      <c r="D22" s="3" t="n"/>
      <c r="E22" s="3" t="n"/>
      <c r="F22" s="3" t="n"/>
      <c r="G22" s="3" t="n"/>
    </row>
    <row r="23" ht="15.75" customHeight="1" s="164">
      <c r="A23" s="4" t="inlineStr">
        <is>
          <t>Tier 1 — Simple</t>
        </is>
      </c>
      <c r="B23" s="9" t="n">
        <v>10000</v>
      </c>
      <c r="C23" s="159" t="inlineStr">
        <is>
          <t>Standard REST or webhook</t>
        </is>
      </c>
      <c r="D23" s="5" t="n"/>
      <c r="E23" s="5" t="n"/>
      <c r="F23" s="5" t="n"/>
      <c r="G23" s="5" t="n"/>
    </row>
    <row r="24" ht="15.75" customHeight="1" s="164">
      <c r="A24" s="6" t="inlineStr">
        <is>
          <t>Tier 2 — Standard</t>
        </is>
      </c>
      <c r="B24" s="10" t="n">
        <v>18500</v>
      </c>
      <c r="C24" s="160" t="inlineStr">
        <is>
          <t>Moderate mapping / transform</t>
        </is>
      </c>
      <c r="D24" s="7" t="n"/>
      <c r="E24" s="7" t="n"/>
      <c r="F24" s="7" t="n"/>
      <c r="G24" s="7" t="n"/>
    </row>
    <row r="25" ht="15.75" customHeight="1" s="164">
      <c r="A25" s="4" t="inlineStr">
        <is>
          <t>Tier 3 — Complex</t>
        </is>
      </c>
      <c r="B25" s="9" t="n">
        <v>23425</v>
      </c>
      <c r="C25" s="159" t="inlineStr">
        <is>
          <t>Legacy protocol / custom adapter</t>
        </is>
      </c>
      <c r="D25" s="5" t="n"/>
      <c r="E25" s="5" t="n"/>
      <c r="F25" s="5" t="n"/>
      <c r="G25" s="5" t="n"/>
    </row>
    <row r="26" ht="15.75" customHeight="1" s="164">
      <c r="A26" s="6" t="inlineStr">
        <is>
          <t>Tier 4 — Advanced</t>
        </is>
      </c>
      <c r="B26" s="10" t="n">
        <v>36450</v>
      </c>
      <c r="C26" s="160" t="inlineStr">
        <is>
          <t>Multi-system / real-time</t>
        </is>
      </c>
      <c r="D26" s="7" t="n"/>
      <c r="E26" s="7" t="n"/>
      <c r="F26" s="7" t="n"/>
      <c r="G26" s="7" t="n"/>
    </row>
    <row r="27" ht="7.5" customHeight="1" s="164">
      <c r="A27" s="67" t="n"/>
    </row>
    <row r="28" ht="19.5" customHeight="1" s="164">
      <c r="A28" s="77" t="inlineStr">
        <is>
          <t xml:space="preserve">  ASSISTED WRITE-BACK INTEGRATION</t>
        </is>
      </c>
    </row>
    <row r="29" ht="31.5" customHeight="1" s="164">
      <c r="A29" s="3" t="inlineStr">
        <is>
          <t>Complexity Tier</t>
        </is>
      </c>
      <c r="B29" s="3" t="inlineStr">
        <is>
          <t>One-Time Fee</t>
        </is>
      </c>
      <c r="C29" s="156" t="inlineStr">
        <is>
          <t>Description</t>
        </is>
      </c>
      <c r="D29" s="3" t="n"/>
      <c r="E29" s="3" t="n"/>
      <c r="F29" s="3" t="n"/>
      <c r="G29" s="3" t="n"/>
    </row>
    <row r="30" ht="15.75" customHeight="1" s="164">
      <c r="A30" s="4" t="inlineStr">
        <is>
          <t>Tier 1 — Simple</t>
        </is>
      </c>
      <c r="B30" s="9" t="n">
        <v>28500</v>
      </c>
      <c r="C30" s="159" t="inlineStr">
        <is>
          <t>Basic write-back with confirmation</t>
        </is>
      </c>
      <c r="D30" s="5" t="n"/>
      <c r="E30" s="5" t="n"/>
      <c r="F30" s="5" t="n"/>
      <c r="G30" s="5" t="n"/>
    </row>
    <row r="31" ht="15.75" customHeight="1" s="164">
      <c r="A31" s="6" t="inlineStr">
        <is>
          <t>Tier 2 — Standard</t>
        </is>
      </c>
      <c r="B31" s="10" t="n">
        <v>34250</v>
      </c>
      <c r="C31" s="160" t="inlineStr">
        <is>
          <t>Standard bidirectional</t>
        </is>
      </c>
      <c r="D31" s="7" t="n"/>
      <c r="E31" s="7" t="n"/>
      <c r="F31" s="7" t="n"/>
      <c r="G31" s="7" t="n"/>
    </row>
    <row r="32" ht="15.75" customHeight="1" s="164">
      <c r="A32" s="4" t="inlineStr">
        <is>
          <t>Tier 3 — Complex</t>
        </is>
      </c>
      <c r="B32" s="9" t="n">
        <v>44000</v>
      </c>
      <c r="C32" s="159" t="inlineStr">
        <is>
          <t>Complex data mapping</t>
        </is>
      </c>
      <c r="D32" s="5" t="n"/>
      <c r="E32" s="5" t="n"/>
      <c r="F32" s="5" t="n"/>
      <c r="G32" s="5" t="n"/>
    </row>
    <row r="33" ht="15.75" customHeight="1" s="164">
      <c r="A33" s="6" t="inlineStr">
        <is>
          <t>Tier 4 — Advanced</t>
        </is>
      </c>
      <c r="B33" s="10" t="n">
        <v>51600</v>
      </c>
      <c r="C33" s="160" t="inlineStr">
        <is>
          <t>Full bidirectional + validation</t>
        </is>
      </c>
      <c r="D33" s="7" t="n"/>
      <c r="E33" s="7" t="n"/>
      <c r="F33" s="7" t="n"/>
      <c r="G33" s="7" t="n"/>
    </row>
    <row r="34" ht="7.5" customHeight="1" s="164">
      <c r="A34" s="67" t="n"/>
    </row>
    <row r="35" ht="19.5" customHeight="1" s="164">
      <c r="A35" s="77" t="inlineStr">
        <is>
          <t xml:space="preserve">  AUTOMATED WRITE-BACK INTEGRATION</t>
        </is>
      </c>
    </row>
    <row r="36" ht="31.5" customHeight="1" s="164">
      <c r="A36" s="3" t="inlineStr">
        <is>
          <t>Complexity Tier</t>
        </is>
      </c>
      <c r="B36" s="3" t="inlineStr">
        <is>
          <t>One-Time Fee</t>
        </is>
      </c>
      <c r="C36" s="156" t="inlineStr">
        <is>
          <t>Description</t>
        </is>
      </c>
      <c r="D36" s="3" t="n"/>
      <c r="E36" s="3" t="n"/>
      <c r="F36" s="3" t="n"/>
      <c r="G36" s="3" t="n"/>
    </row>
    <row r="37" ht="15.75" customHeight="1" s="164">
      <c r="A37" s="4" t="inlineStr">
        <is>
          <t>Tier 1 — Simple</t>
        </is>
      </c>
      <c r="B37" s="9" t="n">
        <v>46000</v>
      </c>
      <c r="C37" s="159" t="inlineStr">
        <is>
          <t>Automated rules-based write-back</t>
        </is>
      </c>
      <c r="D37" s="5" t="n"/>
      <c r="E37" s="5" t="n"/>
      <c r="F37" s="5" t="n"/>
      <c r="G37" s="5" t="n"/>
    </row>
    <row r="38" ht="15.75" customHeight="1" s="164">
      <c r="A38" s="6" t="inlineStr">
        <is>
          <t>Tier 2 — Standard</t>
        </is>
      </c>
      <c r="B38" s="10" t="n">
        <v>58000</v>
      </c>
      <c r="C38" s="160" t="inlineStr">
        <is>
          <t>Full automation with logging</t>
        </is>
      </c>
      <c r="D38" s="7" t="n"/>
      <c r="E38" s="7" t="n"/>
      <c r="F38" s="7" t="n"/>
      <c r="G38" s="7" t="n"/>
    </row>
    <row r="39" ht="15.75" customHeight="1" s="164">
      <c r="A39" s="4" t="inlineStr">
        <is>
          <t>Tier 3 — Complex</t>
        </is>
      </c>
      <c r="B39" s="9" t="n">
        <v>67000</v>
      </c>
      <c r="C39" s="159" t="inlineStr">
        <is>
          <t>Complex event-driven automation</t>
        </is>
      </c>
      <c r="D39" s="5" t="n"/>
      <c r="E39" s="5" t="n"/>
      <c r="F39" s="5" t="n"/>
      <c r="G39" s="5" t="n"/>
    </row>
    <row r="40" ht="15.75" customHeight="1" s="164">
      <c r="A40" s="6" t="inlineStr">
        <is>
          <t>Tier 4 — Advanced</t>
        </is>
      </c>
      <c r="B40" s="10" t="n">
        <v>74000</v>
      </c>
      <c r="C40" s="160" t="inlineStr">
        <is>
          <t>Custom AI-assisted write-back</t>
        </is>
      </c>
      <c r="D40" s="7" t="n"/>
      <c r="E40" s="7" t="n"/>
      <c r="F40" s="7" t="n"/>
      <c r="G40" s="7" t="n"/>
    </row>
    <row r="41" ht="7.5" customHeight="1" s="164">
      <c r="A41" s="67" t="n"/>
    </row>
    <row r="42" ht="19.5" customHeight="1" s="164">
      <c r="A42" s="77" t="inlineStr">
        <is>
          <t xml:space="preserve">  ADDITIONAL CAD CONNECTORS</t>
        </is>
      </c>
    </row>
    <row r="43" ht="31.5" customHeight="1" s="164">
      <c r="A43" s="3" t="inlineStr">
        <is>
          <t>Item</t>
        </is>
      </c>
      <c r="B43" s="3" t="inlineStr">
        <is>
          <t>Low</t>
        </is>
      </c>
      <c r="C43" s="156" t="inlineStr">
        <is>
          <t>High</t>
        </is>
      </c>
      <c r="D43" s="3" t="inlineStr">
        <is>
          <t>Notes</t>
        </is>
      </c>
      <c r="E43" s="3" t="n"/>
      <c r="F43" s="3" t="n"/>
      <c r="G43" s="3" t="n"/>
    </row>
    <row r="44" ht="15.75" customHeight="1" s="164">
      <c r="A44" s="6" t="inlineStr">
        <is>
          <t>Additional CAD Vendor Connector</t>
        </is>
      </c>
      <c r="B44" s="10" t="n">
        <v>75000</v>
      </c>
      <c r="C44" s="158" t="n">
        <v>150000</v>
      </c>
      <c r="D44" s="7" t="inlineStr">
        <is>
          <t>Per connector — one-time</t>
        </is>
      </c>
      <c r="E44" s="7" t="n"/>
      <c r="F44" s="7" t="n"/>
      <c r="G44" s="7" t="n"/>
    </row>
    <row r="45" ht="7.5" customHeight="1" s="164">
      <c r="A45" s="67" t="n"/>
    </row>
    <row r="46" ht="15.75" customHeight="1" s="164">
      <c r="A46" s="80" t="inlineStr">
        <is>
          <t>RULE: Do NOT include full CAD write-back in pilot base pricing. Scope separately after discovery, sandbox testing, and vendor validation.</t>
        </is>
      </c>
    </row>
    <row r="47" ht="15.75" customHeight="1" s="164">
      <c r="A47" s="76" t="inlineStr">
        <is>
          <t>Annual maintenance on integrations: 15–20% of integration fee, billed separately.</t>
        </is>
      </c>
    </row>
  </sheetData>
  <mergeCells count="17">
    <mergeCell ref="A14:G14"/>
    <mergeCell ref="A1:G1"/>
    <mergeCell ref="A20:H20"/>
    <mergeCell ref="A21:G21"/>
    <mergeCell ref="A3:G3"/>
    <mergeCell ref="A35:G35"/>
    <mergeCell ref="A5:G5"/>
    <mergeCell ref="A46:G46"/>
    <mergeCell ref="A41:H41"/>
    <mergeCell ref="A13:H13"/>
    <mergeCell ref="A2:G2"/>
    <mergeCell ref="A42:G42"/>
    <mergeCell ref="A45:H45"/>
    <mergeCell ref="A27:H27"/>
    <mergeCell ref="A47:G47"/>
    <mergeCell ref="A28:G28"/>
    <mergeCell ref="A34:H34"/>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30"/>
  <sheetViews>
    <sheetView showGridLines="0" zoomScaleNormal="100" workbookViewId="0">
      <pane ySplit="4" topLeftCell="A5" activePane="bottomLeft" state="frozen"/>
      <selection pane="bottomLeft" activeCell="E36" sqref="E36"/>
    </sheetView>
  </sheetViews>
  <sheetFormatPr baseColWidth="10" defaultColWidth="8.6640625" defaultRowHeight="15"/>
  <cols>
    <col width="44" customWidth="1" style="164" min="1" max="1"/>
    <col width="22" customWidth="1" style="164" min="2" max="3"/>
    <col width="24.33203125" bestFit="1" customWidth="1" style="161" min="4" max="4"/>
    <col width="22" customWidth="1" style="164" min="5" max="6"/>
  </cols>
  <sheetData>
    <row r="1" ht="30" customHeight="1" s="164">
      <c r="A1" s="73" t="inlineStr">
        <is>
          <t>NEXCORT IQ — INTERNAL PRICING GUIDE</t>
        </is>
      </c>
    </row>
    <row r="2" ht="24" customHeight="1" s="164">
      <c r="A2" s="78" t="inlineStr">
        <is>
          <t>CALLER TEXT, PHOTO &amp; VIDEO ADD-ONS</t>
        </is>
      </c>
    </row>
    <row r="3" ht="18" customHeight="1" s="164">
      <c r="A3" s="74" t="inlineStr">
        <is>
          <t>SMS links · Photo upload · Video upload · Live streaming · Redaction · Evidence retention</t>
        </is>
      </c>
    </row>
    <row r="5" ht="19.5" customHeight="1" s="164">
      <c r="A5" s="77" t="inlineStr">
        <is>
          <t xml:space="preserve">  SMS &amp; TEXT</t>
        </is>
      </c>
    </row>
    <row r="6" ht="31.5" customHeight="1" s="164">
      <c r="A6" s="3" t="inlineStr">
        <is>
          <t>Service</t>
        </is>
      </c>
      <c r="B6" s="3" t="inlineStr">
        <is>
          <t>Monthly Fee Low</t>
        </is>
      </c>
      <c r="C6" s="3" t="inlineStr">
        <is>
          <t>Monthly Fee High</t>
        </is>
      </c>
      <c r="D6" s="156" t="inlineStr">
        <is>
          <t>Notes</t>
        </is>
      </c>
      <c r="E6" s="3" t="n"/>
      <c r="F6" s="3" t="n"/>
    </row>
    <row r="7" ht="15.75" customHeight="1" s="164">
      <c r="A7" s="4" t="inlineStr">
        <is>
          <t>Caller SMS Link Generation</t>
        </is>
      </c>
      <c r="B7" s="9" t="n">
        <v>1500</v>
      </c>
      <c r="C7" s="9" t="n">
        <v>5000</v>
      </c>
      <c r="D7" s="159" t="n"/>
      <c r="E7" s="5" t="n"/>
      <c r="F7" s="5" t="n"/>
    </row>
    <row r="8" ht="15.75" customHeight="1" s="164">
      <c r="A8" s="6" t="inlineStr">
        <is>
          <t>Text-Only Emergency Conversation Link</t>
        </is>
      </c>
      <c r="B8" s="10" t="n">
        <v>2000</v>
      </c>
      <c r="C8" s="10" t="n">
        <v>7500</v>
      </c>
      <c r="D8" s="160" t="inlineStr">
        <is>
          <t>Async text triage</t>
        </is>
      </c>
      <c r="E8" s="7" t="n"/>
      <c r="F8" s="7" t="n"/>
    </row>
    <row r="9" ht="7.5" customHeight="1" s="164">
      <c r="A9" s="67" t="n"/>
    </row>
    <row r="10" ht="19.5" customHeight="1" s="164">
      <c r="A10" s="77" t="inlineStr">
        <is>
          <t xml:space="preserve">  PHOTO UPLOAD</t>
        </is>
      </c>
    </row>
    <row r="11" ht="31.5" customHeight="1" s="164">
      <c r="A11" s="3" t="inlineStr">
        <is>
          <t>Tier</t>
        </is>
      </c>
      <c r="B11" s="3" t="inlineStr">
        <is>
          <t>Monthly Fee Low</t>
        </is>
      </c>
      <c r="C11" s="3" t="inlineStr">
        <is>
          <t>Monthly Fee High</t>
        </is>
      </c>
      <c r="D11" s="156" t="inlineStr">
        <is>
          <t>Notes</t>
        </is>
      </c>
      <c r="E11" s="3" t="n"/>
      <c r="F11" s="3" t="n"/>
    </row>
    <row r="12" ht="15.75" customHeight="1" s="164">
      <c r="A12" s="4" t="inlineStr">
        <is>
          <t>Basic (&lt;500 photos/mo, 5MB, 30-day retention)</t>
        </is>
      </c>
      <c r="B12" s="9" t="n">
        <v>1000</v>
      </c>
      <c r="C12" s="9" t="n">
        <v>3500</v>
      </c>
      <c r="D12" s="159" t="n"/>
      <c r="E12" s="5" t="n"/>
      <c r="F12" s="5" t="n"/>
    </row>
    <row r="13" ht="15.75" customHeight="1" s="164">
      <c r="A13" s="6" t="inlineStr">
        <is>
          <t>Standard (&lt;2K photos/mo, 10MB, 90-day retention)</t>
        </is>
      </c>
      <c r="B13" s="10" t="n">
        <v>1000</v>
      </c>
      <c r="C13" s="10" t="n">
        <v>3500</v>
      </c>
      <c r="D13" s="160" t="n"/>
      <c r="E13" s="7" t="n"/>
      <c r="F13" s="7" t="n"/>
    </row>
    <row r="14" ht="15.75" customHeight="1" s="164">
      <c r="A14" s="4" t="inlineStr">
        <is>
          <t>Premium (5K+ photos/mo, 25MB, 1-year retention)</t>
        </is>
      </c>
      <c r="B14" s="9" t="n">
        <v>2000</v>
      </c>
      <c r="C14" s="9" t="n">
        <v>4000</v>
      </c>
      <c r="D14" s="159" t="n"/>
      <c r="E14" s="5" t="n"/>
      <c r="F14" s="5" t="n"/>
    </row>
    <row r="15" ht="7.5" customHeight="1" s="164">
      <c r="A15" s="67" t="n"/>
    </row>
    <row r="16" ht="19.5" customHeight="1" s="164">
      <c r="A16" s="77" t="inlineStr">
        <is>
          <t xml:space="preserve">  VIDEO UPLOAD &amp; LIVE STREAMING</t>
        </is>
      </c>
    </row>
    <row r="17" ht="31.5" customHeight="1" s="164">
      <c r="A17" s="3" t="inlineStr">
        <is>
          <t>Service</t>
        </is>
      </c>
      <c r="B17" s="3" t="inlineStr">
        <is>
          <t>Monthly Fee Low</t>
        </is>
      </c>
      <c r="C17" s="3" t="inlineStr">
        <is>
          <t>Monthly Fee High</t>
        </is>
      </c>
      <c r="D17" s="156" t="inlineStr">
        <is>
          <t>Notes</t>
        </is>
      </c>
      <c r="E17" s="3" t="n"/>
      <c r="F17" s="3" t="n"/>
    </row>
    <row r="18" ht="15.75" customHeight="1" s="164">
      <c r="A18" s="4" t="inlineStr">
        <is>
          <t>Caller Video Upload</t>
        </is>
      </c>
      <c r="B18" s="9" t="n">
        <v>2500</v>
      </c>
      <c r="C18" s="9" t="n">
        <v>8500</v>
      </c>
      <c r="D18" s="159" t="inlineStr">
        <is>
          <t>Async upload</t>
        </is>
      </c>
      <c r="E18" s="5" t="n"/>
      <c r="F18" s="5" t="n"/>
    </row>
    <row r="19" ht="15.75" customHeight="1" s="164">
      <c r="A19" s="6" t="inlineStr">
        <is>
          <t>Live Caller Video Streaming</t>
        </is>
      </c>
      <c r="B19" s="10" t="n">
        <v>5000</v>
      </c>
      <c r="C19" s="10" t="n">
        <v>20000</v>
      </c>
      <c r="D19" s="160" t="inlineStr">
        <is>
          <t>WebRTC · real-time</t>
        </is>
      </c>
      <c r="E19" s="7" t="n"/>
      <c r="F19" s="7" t="n"/>
    </row>
    <row r="20" ht="15.75" customHeight="1" s="164">
      <c r="A20" s="4" t="inlineStr">
        <is>
          <t>Media Audit Trail</t>
        </is>
      </c>
      <c r="B20" s="9" t="n">
        <v>1500</v>
      </c>
      <c r="C20" s="9" t="n">
        <v>5000</v>
      </c>
      <c r="D20" s="159" t="inlineStr">
        <is>
          <t>Chain-of-custody logging</t>
        </is>
      </c>
      <c r="E20" s="5" t="n"/>
      <c r="F20" s="5" t="n"/>
    </row>
    <row r="21" ht="15.75" customHeight="1" s="164">
      <c r="A21" s="6" t="inlineStr">
        <is>
          <t>Evidence Retention Controls</t>
        </is>
      </c>
      <c r="B21" s="10" t="n">
        <v>2500</v>
      </c>
      <c r="C21" s="10" t="n">
        <v>10000</v>
      </c>
      <c r="D21" s="160" t="n"/>
      <c r="E21" s="7" t="n"/>
      <c r="F21" s="7" t="n"/>
    </row>
    <row r="22" ht="15.75" customHeight="1" s="164">
      <c r="A22" s="4" t="inlineStr">
        <is>
          <t>Secure Media Storage Package</t>
        </is>
      </c>
      <c r="B22" s="9" t="n">
        <v>1500</v>
      </c>
      <c r="C22" s="9" t="n">
        <v>7500</v>
      </c>
      <c r="D22" s="159" t="inlineStr">
        <is>
          <t>Plus storage overages</t>
        </is>
      </c>
      <c r="E22" s="5" t="n"/>
      <c r="F22" s="5" t="n"/>
    </row>
    <row r="23" ht="15.75" customHeight="1" s="164">
      <c r="A23" s="6" t="inlineStr">
        <is>
          <t>Media Redaction Workflow</t>
        </is>
      </c>
      <c r="B23" s="10" t="n">
        <v>5000</v>
      </c>
      <c r="C23" s="10" t="n">
        <v>20000</v>
      </c>
      <c r="D23" s="160" t="inlineStr">
        <is>
          <t>High-margin — scope carefully</t>
        </is>
      </c>
      <c r="E23" s="7" t="n"/>
      <c r="F23" s="7" t="n"/>
    </row>
    <row r="24" ht="15.75" customHeight="1" s="164">
      <c r="A24" s="4" t="inlineStr">
        <is>
          <t>Large-Volume Media Package</t>
        </is>
      </c>
      <c r="B24" s="5" t="inlineStr">
        <is>
          <t>Custom</t>
        </is>
      </c>
      <c r="C24" s="5" t="inlineStr">
        <is>
          <t>Custom</t>
        </is>
      </c>
      <c r="D24" s="159" t="inlineStr">
        <is>
          <t>Custom quote required</t>
        </is>
      </c>
      <c r="E24" s="5" t="n"/>
      <c r="F24" s="5" t="n"/>
    </row>
    <row r="25" ht="7.5" customHeight="1" s="164">
      <c r="A25" s="67" t="n"/>
    </row>
    <row r="26" ht="18" customHeight="1" s="164">
      <c r="A26" s="79" t="inlineStr">
        <is>
          <t xml:space="preserve">  SALES POSITIONING — Caller Media Add-Ons</t>
        </is>
      </c>
    </row>
    <row r="27" ht="15" customHeight="1" s="164">
      <c r="A27" s="75" t="inlineStr">
        <is>
          <t xml:space="preserve">    Gives dispatchers more real-time context before responders arrive.</t>
        </is>
      </c>
    </row>
    <row r="28" ht="15" customHeight="1" s="164">
      <c r="A28" s="75" t="inlineStr">
        <is>
          <t xml:space="preserve">    Useful when callers cannot safely speak or when visual context improves situational awareness.</t>
        </is>
      </c>
    </row>
    <row r="29" ht="15" customHeight="1" s="164">
      <c r="A29" s="75" t="inlineStr">
        <is>
          <t xml:space="preserve">    Supports better documentation through audit trails and evidence retention.</t>
        </is>
      </c>
    </row>
    <row r="30" ht="15.75" customHeight="1" s="164">
      <c r="A30" s="76" t="inlineStr">
        <is>
          <t>⚠  INTERNAL USE ONLY</t>
        </is>
      </c>
    </row>
  </sheetData>
  <mergeCells count="14">
    <mergeCell ref="A9:H9"/>
    <mergeCell ref="A2:F2"/>
    <mergeCell ref="A16:F16"/>
    <mergeCell ref="A10:F10"/>
    <mergeCell ref="A28:F28"/>
    <mergeCell ref="A15:H15"/>
    <mergeCell ref="A25:H25"/>
    <mergeCell ref="A1:F1"/>
    <mergeCell ref="A5:F5"/>
    <mergeCell ref="A27:F27"/>
    <mergeCell ref="A26:F26"/>
    <mergeCell ref="A3:F3"/>
    <mergeCell ref="A30:F30"/>
    <mergeCell ref="A29:F29"/>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H25"/>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SUPERVISOR &amp; QA ADD-ONS</t>
        </is>
      </c>
    </row>
    <row r="3" ht="18" customHeight="1" s="164">
      <c r="A3" s="74" t="inlineStr">
        <is>
          <t>Scorecards · Coaching · Dashboards · QA rubrics · Analytics · AI grading</t>
        </is>
      </c>
    </row>
    <row r="5" ht="19.5" customHeight="1" s="164">
      <c r="A5" s="77" t="inlineStr">
        <is>
          <t xml:space="preserve">  QA &amp; COACHING MODULES</t>
        </is>
      </c>
    </row>
    <row r="6" ht="31.5" customHeight="1" s="164">
      <c r="A6" s="3" t="inlineStr">
        <is>
          <t>Module</t>
        </is>
      </c>
      <c r="B6" s="3" t="inlineStr">
        <is>
          <t>Monthly Fee Low</t>
        </is>
      </c>
      <c r="C6" s="3" t="inlineStr">
        <is>
          <t>Monthly Fee High</t>
        </is>
      </c>
      <c r="D6" s="3" t="inlineStr">
        <is>
          <t>Notes</t>
        </is>
      </c>
      <c r="E6" s="3" t="n"/>
      <c r="F6" s="3" t="n"/>
    </row>
    <row r="7" ht="15.75" customHeight="1" s="164">
      <c r="A7" s="4" t="inlineStr">
        <is>
          <t>QA Review Tools</t>
        </is>
      </c>
      <c r="B7" s="9" t="n">
        <v>1500</v>
      </c>
      <c r="C7" s="9" t="n">
        <v>5000</v>
      </c>
      <c r="D7" s="5" t="inlineStr">
        <is>
          <t>Full suite — replaces Limited in Essential</t>
        </is>
      </c>
      <c r="E7" s="5" t="n"/>
      <c r="F7" s="5" t="n"/>
    </row>
    <row r="8" ht="15.75" customHeight="1" s="164">
      <c r="A8" s="6" t="inlineStr">
        <is>
          <t>Dispatcher Scorecards</t>
        </is>
      </c>
      <c r="B8" s="10" t="n">
        <v>1000</v>
      </c>
      <c r="C8" s="10" t="n">
        <v>4000</v>
      </c>
      <c r="D8" s="7" t="inlineStr">
        <is>
          <t>Per-call scoring templates</t>
        </is>
      </c>
      <c r="E8" s="7" t="n"/>
      <c r="F8" s="7" t="n"/>
    </row>
    <row r="9" ht="15.75" customHeight="1" s="164">
      <c r="A9" s="4" t="inlineStr">
        <is>
          <t>Coaching Notes</t>
        </is>
      </c>
      <c r="B9" s="9" t="n">
        <v>1000</v>
      </c>
      <c r="C9" s="9" t="n">
        <v>4000</v>
      </c>
      <c r="D9" s="5" t="inlineStr">
        <is>
          <t>Supervisor annotation layer</t>
        </is>
      </c>
      <c r="E9" s="5" t="n"/>
      <c r="F9" s="5" t="n"/>
    </row>
    <row r="10" ht="15.75" customHeight="1" s="164">
      <c r="A10" s="6" t="inlineStr">
        <is>
          <t>Team Performance Dashboards</t>
        </is>
      </c>
      <c r="B10" s="10" t="n">
        <v>2000</v>
      </c>
      <c r="C10" s="10" t="n">
        <v>7500</v>
      </c>
      <c r="D10" s="7" t="inlineStr">
        <is>
          <t>Real-time supervisor view</t>
        </is>
      </c>
      <c r="E10" s="7" t="n"/>
      <c r="F10" s="7" t="n"/>
    </row>
    <row r="11" ht="15.75" customHeight="1" s="164">
      <c r="A11" s="4" t="inlineStr">
        <is>
          <t>Call Quality Trends</t>
        </is>
      </c>
      <c r="B11" s="9" t="n">
        <v>2000</v>
      </c>
      <c r="C11" s="9" t="n">
        <v>7500</v>
      </c>
      <c r="D11" s="5" t="inlineStr">
        <is>
          <t>Trend reporting + export</t>
        </is>
      </c>
      <c r="E11" s="5" t="n"/>
      <c r="F11" s="5" t="n"/>
    </row>
    <row r="12" ht="15.75" customHeight="1" s="164">
      <c r="A12" s="6" t="inlineStr">
        <is>
          <t>Supervisor Training Dashboard</t>
        </is>
      </c>
      <c r="B12" s="10" t="n">
        <v>2500</v>
      </c>
      <c r="C12" s="10" t="n">
        <v>10000</v>
      </c>
      <c r="D12" s="7" t="n"/>
      <c r="E12" s="7" t="n"/>
      <c r="F12" s="7" t="n"/>
    </row>
    <row r="13" ht="15.75" customHeight="1" s="164">
      <c r="A13" s="4" t="inlineStr">
        <is>
          <t>AI QA Scoring Model</t>
        </is>
      </c>
      <c r="B13" s="9" t="n">
        <v>2500</v>
      </c>
      <c r="C13" s="9" t="n">
        <v>10000</v>
      </c>
      <c r="D13" s="5" t="inlineStr">
        <is>
          <t>AI-assisted grading</t>
        </is>
      </c>
      <c r="E13" s="5" t="n"/>
      <c r="F13" s="5" t="n"/>
    </row>
    <row r="14" ht="15.75" customHeight="1" s="164">
      <c r="A14" s="6" t="inlineStr">
        <is>
          <t>Monthly QA Analytics Report</t>
        </is>
      </c>
      <c r="B14" s="10" t="n">
        <v>2500</v>
      </c>
      <c r="C14" s="10" t="n">
        <v>7500</v>
      </c>
      <c r="D14" s="7" t="n"/>
      <c r="E14" s="7" t="n"/>
      <c r="F14" s="7" t="n"/>
    </row>
    <row r="15" ht="7.5" customHeight="1" s="164">
      <c r="A15" s="67" t="n"/>
    </row>
    <row r="16" ht="19.5" customHeight="1" s="164">
      <c r="A16" s="77" t="inlineStr">
        <is>
          <t xml:space="preserve">  CUSTOM QA DEVELOPMENT</t>
        </is>
      </c>
    </row>
    <row r="17" ht="31.5" customHeight="1" s="164">
      <c r="A17" s="3" t="inlineStr">
        <is>
          <t>Item</t>
        </is>
      </c>
      <c r="B17" s="3" t="inlineStr">
        <is>
          <t>Price Low</t>
        </is>
      </c>
      <c r="C17" s="3" t="inlineStr">
        <is>
          <t>Price High</t>
        </is>
      </c>
      <c r="D17" s="3" t="inlineStr">
        <is>
          <t>Type</t>
        </is>
      </c>
      <c r="E17" s="3" t="inlineStr">
        <is>
          <t>Notes</t>
        </is>
      </c>
      <c r="F17" s="3" t="n"/>
    </row>
    <row r="18" ht="15.75" customHeight="1" s="164">
      <c r="A18" s="6" t="inlineStr">
        <is>
          <t>Custom QA Scoring Rubric</t>
        </is>
      </c>
      <c r="B18" s="10" t="n">
        <v>7500</v>
      </c>
      <c r="C18" s="10" t="n">
        <v>25000</v>
      </c>
      <c r="D18" s="7" t="inlineStr">
        <is>
          <t>One-time</t>
        </is>
      </c>
      <c r="E18" s="7" t="n"/>
    </row>
    <row r="19" ht="7.5" customHeight="1" s="164">
      <c r="A19" s="67" t="n"/>
    </row>
    <row r="20" ht="15.75" customHeight="1" s="164">
      <c r="A20" s="76" t="inlineStr">
        <is>
          <t>BUNDLE: Scorecards + Coaching Notes + Team Dashboards — 15% discount when ordered together.</t>
        </is>
      </c>
    </row>
    <row r="21" ht="18" customHeight="1" s="164">
      <c r="A21" s="79" t="inlineStr">
        <is>
          <t xml:space="preserve">  SALES POSITIONING — Supervisor &amp; QA Add-Ons</t>
        </is>
      </c>
    </row>
    <row r="22" ht="15" customHeight="1" s="164">
      <c r="A22" s="75" t="inlineStr">
        <is>
          <t xml:space="preserve">    Helps supervisors identify training gaps and improve consistency.</t>
        </is>
      </c>
    </row>
    <row r="23" ht="15" customHeight="1" s="164">
      <c r="A23" s="75" t="inlineStr">
        <is>
          <t xml:space="preserve">    Useful for agencies focused on compliance, coaching, and continuous improvement.</t>
        </is>
      </c>
    </row>
    <row r="24" ht="15" customHeight="1" s="164">
      <c r="A24" s="75" t="inlineStr">
        <is>
          <t xml:space="preserve">    Custom QA rubric is a high-value one-time add-on — scope after pilot.</t>
        </is>
      </c>
    </row>
    <row r="25" ht="15.75" customHeight="1" s="164">
      <c r="A25" s="76" t="inlineStr">
        <is>
          <t>⚠  INTERNAL USE ONLY</t>
        </is>
      </c>
    </row>
  </sheetData>
  <mergeCells count="13">
    <mergeCell ref="A24:F24"/>
    <mergeCell ref="A2:F2"/>
    <mergeCell ref="A16:F16"/>
    <mergeCell ref="A15:H15"/>
    <mergeCell ref="A1:F1"/>
    <mergeCell ref="A5:F5"/>
    <mergeCell ref="A23:F23"/>
    <mergeCell ref="A19:H19"/>
    <mergeCell ref="A22:F22"/>
    <mergeCell ref="A3:F3"/>
    <mergeCell ref="A21:F21"/>
    <mergeCell ref="A20:F20"/>
    <mergeCell ref="A25:F25"/>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37"/>
  <sheetViews>
    <sheetView showGridLines="0" zoomScaleNormal="100" workbookViewId="0">
      <pane ySplit="4" topLeftCell="A5" activePane="bottomLeft" state="frozen"/>
      <selection activeCell="I31" sqref="I31"/>
      <selection pane="bottomLeft" activeCell="I31" sqref="I31"/>
    </sheetView>
  </sheetViews>
  <sheetFormatPr baseColWidth="10" defaultColWidth="8.6640625" defaultRowHeight="15"/>
  <cols>
    <col width="44" customWidth="1" style="164" min="1" max="1"/>
    <col width="22" customWidth="1" style="164" min="2" max="6"/>
  </cols>
  <sheetData>
    <row r="1" ht="18" customHeight="1" s="164">
      <c r="A1" s="73" t="inlineStr">
        <is>
          <t>NEXCORT IQ — INTERNAL PRICING GUIDE</t>
        </is>
      </c>
    </row>
    <row r="2" ht="16" customHeight="1" s="164">
      <c r="A2" s="78" t="inlineStr">
        <is>
          <t>TRANSCRIPTION &amp; TRANSLATION ADD-ONS</t>
        </is>
      </c>
    </row>
    <row r="3">
      <c r="A3" s="74" t="inlineStr">
        <is>
          <t>Enhanced accuracy · Speaker diarization · Live translation · Language packs · Text-to-voice</t>
        </is>
      </c>
    </row>
    <row r="5">
      <c r="A5" s="77" t="inlineStr">
        <is>
          <t xml:space="preserve">  ENHANCED TRANSCRIPTION ACCURACY</t>
        </is>
      </c>
    </row>
    <row r="6">
      <c r="A6" s="3" t="inlineStr">
        <is>
          <t>Volume Tier</t>
        </is>
      </c>
      <c r="B6" s="3" t="inlineStr">
        <is>
          <t>Monthly Fee</t>
        </is>
      </c>
      <c r="C6" s="3" t="inlineStr">
        <is>
          <t>Notes</t>
        </is>
      </c>
      <c r="D6" s="3" t="n"/>
      <c r="E6" s="3" t="n"/>
      <c r="F6" s="3" t="n"/>
    </row>
    <row r="7">
      <c r="A7" s="4" t="inlineStr">
        <is>
          <t>Tier 1 (&lt;5K calls/month)</t>
        </is>
      </c>
      <c r="B7" s="9" t="n">
        <v>1500</v>
      </c>
      <c r="C7" s="5" t="n"/>
      <c r="D7" s="5" t="n"/>
      <c r="E7" s="5" t="n"/>
      <c r="F7" s="5" t="n"/>
    </row>
    <row r="8">
      <c r="A8" s="6" t="inlineStr">
        <is>
          <t>Tier 2 (5K–15K calls/month)</t>
        </is>
      </c>
      <c r="B8" s="10" t="n">
        <v>3000</v>
      </c>
      <c r="C8" s="7" t="n"/>
      <c r="D8" s="7" t="n"/>
      <c r="E8" s="7" t="n"/>
      <c r="F8" s="7" t="n"/>
    </row>
    <row r="9">
      <c r="A9" s="4" t="inlineStr">
        <is>
          <t>Tier 3 (15K+ calls/month)</t>
        </is>
      </c>
      <c r="B9" s="9" t="n">
        <v>5000</v>
      </c>
      <c r="C9" s="5" t="n"/>
      <c r="D9" s="5" t="n"/>
      <c r="E9" s="5" t="n"/>
      <c r="F9" s="5" t="n"/>
    </row>
    <row r="10">
      <c r="A10" s="67" t="n"/>
    </row>
    <row r="11">
      <c r="A11" s="77" t="inlineStr">
        <is>
          <t xml:space="preserve">  SPEAKER SEPARATION (DIARIZATION)</t>
        </is>
      </c>
    </row>
    <row r="12">
      <c r="A12" s="3" t="inlineStr">
        <is>
          <t>Volume Tier</t>
        </is>
      </c>
      <c r="B12" s="3" t="inlineStr">
        <is>
          <t>Monthly Fee</t>
        </is>
      </c>
      <c r="C12" s="3" t="inlineStr">
        <is>
          <t>Notes</t>
        </is>
      </c>
      <c r="D12" s="3" t="n"/>
      <c r="E12" s="3" t="n"/>
      <c r="F12" s="3" t="n"/>
    </row>
    <row r="13">
      <c r="A13" s="4" t="inlineStr">
        <is>
          <t>Tier 1 (&lt;5K calls/month)</t>
        </is>
      </c>
      <c r="B13" s="9" t="n">
        <v>1000</v>
      </c>
      <c r="C13" s="5" t="n"/>
      <c r="D13" s="5" t="n"/>
      <c r="E13" s="5" t="n"/>
      <c r="F13" s="5" t="n"/>
    </row>
    <row r="14">
      <c r="A14" s="6" t="inlineStr">
        <is>
          <t>Tier 2 (5K–15K calls/month)</t>
        </is>
      </c>
      <c r="B14" s="10" t="n">
        <v>2500</v>
      </c>
      <c r="C14" s="7" t="n"/>
      <c r="D14" s="7" t="n"/>
      <c r="E14" s="7" t="n"/>
      <c r="F14" s="7" t="n"/>
    </row>
    <row r="15">
      <c r="A15" s="4" t="inlineStr">
        <is>
          <t>Tier 3 (15K+ calls/month)</t>
        </is>
      </c>
      <c r="B15" s="9" t="n">
        <v>4000</v>
      </c>
      <c r="C15" s="5" t="n"/>
      <c r="D15" s="5" t="n"/>
      <c r="E15" s="5" t="n"/>
      <c r="F15" s="5" t="n"/>
    </row>
    <row r="16">
      <c r="A16" s="67" t="n"/>
    </row>
    <row r="17">
      <c r="A17" s="77" t="inlineStr">
        <is>
          <t xml:space="preserve">  LIVE TRANSLATION</t>
        </is>
      </c>
    </row>
    <row r="18">
      <c r="A18" s="3" t="inlineStr">
        <is>
          <t>Tier</t>
        </is>
      </c>
      <c r="B18" s="3" t="inlineStr">
        <is>
          <t>Languages / Volume</t>
        </is>
      </c>
      <c r="C18" s="3" t="inlineStr">
        <is>
          <t>Monthly Fee</t>
        </is>
      </c>
      <c r="D18" s="3" t="inlineStr">
        <is>
          <t>Notes</t>
        </is>
      </c>
      <c r="E18" s="3" t="n"/>
      <c r="F18" s="3" t="n"/>
    </row>
    <row r="19">
      <c r="A19" s="4" t="inlineStr">
        <is>
          <t>Tier 1</t>
        </is>
      </c>
      <c r="B19" s="5" t="inlineStr">
        <is>
          <t>2–3 languages, &lt;2K translations/mo</t>
        </is>
      </c>
      <c r="C19" s="9" t="n">
        <v>2500</v>
      </c>
      <c r="D19" s="5" t="n"/>
      <c r="E19" s="5" t="n"/>
      <c r="F19" s="5" t="n"/>
    </row>
    <row r="20">
      <c r="A20" s="6" t="inlineStr">
        <is>
          <t>Tier 2</t>
        </is>
      </c>
      <c r="B20" s="7" t="inlineStr">
        <is>
          <t>4–6 languages, 2K–5K translations/mo</t>
        </is>
      </c>
      <c r="C20" s="10" t="n">
        <v>5500</v>
      </c>
      <c r="D20" s="7" t="n"/>
      <c r="E20" s="7" t="n"/>
      <c r="F20" s="7" t="n"/>
    </row>
    <row r="21">
      <c r="A21" s="4" t="inlineStr">
        <is>
          <t>Tier 3</t>
        </is>
      </c>
      <c r="B21" s="5" t="inlineStr">
        <is>
          <t>7–10 languages, 5K–10K translations/mo</t>
        </is>
      </c>
      <c r="C21" s="9" t="n">
        <v>8000</v>
      </c>
      <c r="D21" s="5" t="n"/>
      <c r="E21" s="5" t="n"/>
      <c r="F21" s="5" t="n"/>
    </row>
    <row r="22">
      <c r="A22" s="6" t="inlineStr">
        <is>
          <t>Tier 4</t>
        </is>
      </c>
      <c r="B22" s="7" t="inlineStr">
        <is>
          <t>10+ languages, 10K+ translations/mo</t>
        </is>
      </c>
      <c r="C22" s="10" t="n">
        <v>10000</v>
      </c>
      <c r="D22" s="7" t="inlineStr">
        <is>
          <t>Custom SLA available</t>
        </is>
      </c>
      <c r="E22" s="7" t="n"/>
      <c r="F22" s="7" t="n"/>
    </row>
    <row r="23">
      <c r="A23" s="67" t="n"/>
    </row>
    <row r="24">
      <c r="A24" s="77" t="inlineStr">
        <is>
          <t xml:space="preserve">  LANGUAGE PACKS &amp; ADDITIONAL SERVICES</t>
        </is>
      </c>
    </row>
    <row r="25">
      <c r="A25" s="3" t="inlineStr">
        <is>
          <t>Item</t>
        </is>
      </c>
      <c r="B25" s="3" t="inlineStr">
        <is>
          <t>Monthly Fee Low</t>
        </is>
      </c>
      <c r="C25" s="3" t="inlineStr">
        <is>
          <t>Monthly Fee High</t>
        </is>
      </c>
      <c r="D25" s="3" t="inlineStr">
        <is>
          <t>Notes</t>
        </is>
      </c>
      <c r="E25" s="3" t="n"/>
      <c r="F25" s="3" t="n"/>
    </row>
    <row r="26">
      <c r="A26" s="4" t="inlineStr">
        <is>
          <t>Multilingual Intake Package</t>
        </is>
      </c>
      <c r="B26" s="9" t="n">
        <v>1500</v>
      </c>
      <c r="C26" s="9" t="n">
        <v>5000</v>
      </c>
      <c r="D26" s="5" t="n"/>
      <c r="E26" s="5" t="n"/>
      <c r="F26" s="5" t="n"/>
    </row>
    <row r="27">
      <c r="A27" s="6" t="inlineStr">
        <is>
          <t>Text-to-Voice Support</t>
        </is>
      </c>
      <c r="B27" s="10" t="n">
        <v>1500</v>
      </c>
      <c r="C27" s="10" t="n">
        <v>5000</v>
      </c>
      <c r="D27" s="7" t="n"/>
      <c r="E27" s="7" t="n"/>
      <c r="F27" s="7" t="n"/>
    </row>
    <row r="28">
      <c r="A28" s="4" t="inlineStr">
        <is>
          <t>Top 10 Language Support Package</t>
        </is>
      </c>
      <c r="B28" s="9" t="n">
        <v>3500</v>
      </c>
      <c r="C28" s="9" t="n">
        <v>12500</v>
      </c>
      <c r="D28" s="5" t="inlineStr">
        <is>
          <t>Bundled</t>
        </is>
      </c>
      <c r="E28" s="5" t="n"/>
      <c r="F28" s="5" t="n"/>
    </row>
    <row r="29">
      <c r="A29" s="6" t="inlineStr">
        <is>
          <t>Top 15 Language Support Package</t>
        </is>
      </c>
      <c r="B29" s="10" t="n">
        <v>5000</v>
      </c>
      <c r="C29" s="10" t="n">
        <v>18000</v>
      </c>
      <c r="D29" s="7" t="inlineStr">
        <is>
          <t>Bundled</t>
        </is>
      </c>
      <c r="E29" s="7" t="n"/>
      <c r="F29" s="7" t="n"/>
    </row>
    <row r="30">
      <c r="A30" s="4" t="inlineStr">
        <is>
          <t>Custom Language Package</t>
        </is>
      </c>
      <c r="B30" s="9" t="n">
        <v>1000</v>
      </c>
      <c r="C30" s="9" t="n">
        <v>4000</v>
      </c>
      <c r="D30" s="5" t="inlineStr">
        <is>
          <t>Per language / month</t>
        </is>
      </c>
      <c r="E30" s="5" t="n"/>
      <c r="F30" s="5" t="n"/>
    </row>
    <row r="31">
      <c r="A31" s="6" t="inlineStr">
        <is>
          <t>Translation Audit Trail</t>
        </is>
      </c>
      <c r="B31" s="10" t="n">
        <v>1000</v>
      </c>
      <c r="C31" s="10" t="n">
        <v>4000</v>
      </c>
      <c r="D31" s="7" t="n"/>
      <c r="E31" s="7" t="n"/>
      <c r="F31" s="7" t="n"/>
    </row>
    <row r="32">
      <c r="A32" s="67" t="n"/>
    </row>
    <row r="33">
      <c r="A33" s="79" t="inlineStr">
        <is>
          <t xml:space="preserve">  SALES POSITIONING — Transcription &amp; Translation Add-Ons</t>
        </is>
      </c>
    </row>
    <row r="34">
      <c r="A34" s="75" t="inlineStr">
        <is>
          <t xml:space="preserve">    Supports diverse communities and improves language access during intake.</t>
        </is>
      </c>
    </row>
    <row r="35">
      <c r="A35" s="75" t="inlineStr">
        <is>
          <t xml:space="preserve">    Helps dispatchers understand callers faster and create more complete incident records.</t>
        </is>
      </c>
    </row>
    <row r="36">
      <c r="A36" s="75" t="inlineStr">
        <is>
          <t xml:space="preserve">    Live translation is included in Professional+ — upsell language packs for depth.</t>
        </is>
      </c>
    </row>
    <row r="37">
      <c r="A37" s="76" t="inlineStr">
        <is>
          <t>⚠  INTERNAL USE ONLY</t>
        </is>
      </c>
    </row>
  </sheetData>
  <mergeCells count="16">
    <mergeCell ref="A24:F24"/>
    <mergeCell ref="A2:F2"/>
    <mergeCell ref="A11:F11"/>
    <mergeCell ref="A33:F33"/>
    <mergeCell ref="A36:F36"/>
    <mergeCell ref="A1:F1"/>
    <mergeCell ref="A37:F37"/>
    <mergeCell ref="A5:F5"/>
    <mergeCell ref="A10:H10"/>
    <mergeCell ref="A16:H16"/>
    <mergeCell ref="A17:F17"/>
    <mergeCell ref="A34:F34"/>
    <mergeCell ref="A35:F35"/>
    <mergeCell ref="A23:H23"/>
    <mergeCell ref="A3:F3"/>
    <mergeCell ref="A32:H32"/>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H21"/>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INCIDENT COMMAND &amp; COLLABORATION ADD-ONS</t>
        </is>
      </c>
    </row>
    <row r="3" ht="18" customHeight="1" s="164">
      <c r="A3" s="74" t="inlineStr">
        <is>
          <t>War rooms · Command dashboards · Runbooks · Timelines · Stakeholder pages · EOC support</t>
        </is>
      </c>
    </row>
    <row r="5" ht="19.5" customHeight="1" s="164">
      <c r="A5" s="77" t="inlineStr">
        <is>
          <t xml:space="preserve">  INCIDENT COMMAND ADD-ONS</t>
        </is>
      </c>
    </row>
    <row r="6" ht="31.5" customHeight="1" s="164">
      <c r="A6" s="3" t="inlineStr">
        <is>
          <t>Module</t>
        </is>
      </c>
      <c r="B6" s="3" t="inlineStr">
        <is>
          <t>Monthly Fee Low</t>
        </is>
      </c>
      <c r="C6" s="3" t="inlineStr">
        <is>
          <t>Monthly Fee High</t>
        </is>
      </c>
      <c r="D6" s="3" t="inlineStr">
        <is>
          <t>Notes</t>
        </is>
      </c>
      <c r="E6" s="3" t="n"/>
      <c r="F6" s="3" t="n"/>
    </row>
    <row r="7" ht="15.75" customHeight="1" s="164">
      <c r="A7" s="4" t="inlineStr">
        <is>
          <t>Major Incident Management</t>
        </is>
      </c>
      <c r="B7" s="9" t="n">
        <v>5000</v>
      </c>
      <c r="C7" s="9" t="n">
        <v>20000</v>
      </c>
      <c r="D7" s="5" t="inlineStr">
        <is>
          <t>Included in Command plan</t>
        </is>
      </c>
      <c r="E7" s="5" t="n"/>
      <c r="F7" s="5" t="n"/>
    </row>
    <row r="8" ht="15.75" customHeight="1" s="164">
      <c r="A8" s="6" t="inlineStr">
        <is>
          <t>Command Dashboard</t>
        </is>
      </c>
      <c r="B8" s="10" t="n">
        <v>5000</v>
      </c>
      <c r="C8" s="10" t="n">
        <v>20000</v>
      </c>
      <c r="D8" s="7" t="inlineStr">
        <is>
          <t>Included in Command plan</t>
        </is>
      </c>
      <c r="E8" s="7" t="n"/>
      <c r="F8" s="7" t="n"/>
    </row>
    <row r="9" ht="15.75" customHeight="1" s="164">
      <c r="A9" s="4" t="inlineStr">
        <is>
          <t>War Rooms</t>
        </is>
      </c>
      <c r="B9" s="9" t="n">
        <v>3500</v>
      </c>
      <c r="C9" s="9" t="n">
        <v>15000</v>
      </c>
      <c r="D9" s="5" t="inlineStr">
        <is>
          <t>Included in Command plan</t>
        </is>
      </c>
      <c r="E9" s="5" t="n"/>
      <c r="F9" s="5" t="n"/>
    </row>
    <row r="10" ht="15.75" customHeight="1" s="164">
      <c r="A10" s="6" t="inlineStr">
        <is>
          <t>Runbooks / Playbooks</t>
        </is>
      </c>
      <c r="B10" s="10" t="n">
        <v>2500</v>
      </c>
      <c r="C10" s="10" t="n">
        <v>12500</v>
      </c>
      <c r="D10" s="7" t="inlineStr">
        <is>
          <t>Included in Command plan</t>
        </is>
      </c>
      <c r="E10" s="7" t="n"/>
      <c r="F10" s="7" t="n"/>
    </row>
    <row r="11" ht="15.75" customHeight="1" s="164">
      <c r="A11" s="4" t="inlineStr">
        <is>
          <t>Incident Timeline Reconstruction</t>
        </is>
      </c>
      <c r="B11" s="9" t="n">
        <v>2500</v>
      </c>
      <c r="C11" s="9" t="n">
        <v>10000</v>
      </c>
      <c r="D11" s="5" t="n"/>
      <c r="E11" s="5" t="n"/>
      <c r="F11" s="5" t="n"/>
    </row>
    <row r="12" ht="15.75" customHeight="1" s="164">
      <c r="A12" s="6" t="inlineStr">
        <is>
          <t>Post-Incident Reviews</t>
        </is>
      </c>
      <c r="B12" s="10" t="n">
        <v>2500</v>
      </c>
      <c r="C12" s="10" t="n">
        <v>10000</v>
      </c>
      <c r="D12" s="7" t="n"/>
      <c r="E12" s="7" t="n"/>
      <c r="F12" s="7" t="n"/>
    </row>
    <row r="13" ht="15.75" customHeight="1" s="164">
      <c r="A13" s="4" t="inlineStr">
        <is>
          <t>Stakeholder Status Pages</t>
        </is>
      </c>
      <c r="B13" s="9" t="n">
        <v>3500</v>
      </c>
      <c r="C13" s="9" t="n">
        <v>15000</v>
      </c>
      <c r="D13" s="5" t="n"/>
      <c r="E13" s="5" t="n"/>
      <c r="F13" s="5" t="n"/>
    </row>
    <row r="14" ht="15.75" customHeight="1" s="164">
      <c r="A14" s="6" t="inlineStr">
        <is>
          <t>Public Information Officer View</t>
        </is>
      </c>
      <c r="B14" s="10" t="n">
        <v>2500</v>
      </c>
      <c r="C14" s="10" t="n">
        <v>10000</v>
      </c>
      <c r="D14" s="7" t="n"/>
      <c r="E14" s="7" t="n"/>
      <c r="F14" s="7" t="n"/>
    </row>
    <row r="15" ht="15.75" customHeight="1" s="164">
      <c r="A15" s="4" t="inlineStr">
        <is>
          <t>Executive Incident Briefing Module</t>
        </is>
      </c>
      <c r="B15" s="9" t="n">
        <v>3500</v>
      </c>
      <c r="C15" s="9" t="n">
        <v>15000</v>
      </c>
      <c r="D15" s="5" t="n"/>
      <c r="E15" s="5" t="n"/>
      <c r="F15" s="5" t="n"/>
    </row>
    <row r="16" ht="7.5" customHeight="1" s="164">
      <c r="A16" s="67" t="n"/>
    </row>
    <row r="17" ht="18" customHeight="1" s="164">
      <c r="A17" s="79" t="inlineStr">
        <is>
          <t xml:space="preserve">  SALES POSITIONING — Incident Command Add-Ons</t>
        </is>
      </c>
    </row>
    <row r="18" ht="15" customHeight="1" s="164">
      <c r="A18" s="75" t="inlineStr">
        <is>
          <t xml:space="preserve">    Moves agencies from scattered communication to structured incident coordination.</t>
        </is>
      </c>
    </row>
    <row r="19" ht="15" customHeight="1" s="164">
      <c r="A19" s="75" t="inlineStr">
        <is>
          <t xml:space="preserve">    Valuable during storms, active incidents, large events, mutual aid, and EOC activity.</t>
        </is>
      </c>
    </row>
    <row r="20" ht="15" customHeight="1" s="164">
      <c r="A20" s="75" t="inlineStr">
        <is>
          <t xml:space="preserve">    Note: Major incident management and command dashboard are included in Command plan — upsell for Professional agencies.</t>
        </is>
      </c>
    </row>
    <row r="21" ht="15.75" customHeight="1" s="164">
      <c r="A21" s="76" t="inlineStr">
        <is>
          <t>⚠  INTERNAL USE ONLY</t>
        </is>
      </c>
    </row>
  </sheetData>
  <mergeCells count="10">
    <mergeCell ref="A2:F2"/>
    <mergeCell ref="A19:F19"/>
    <mergeCell ref="A16:H16"/>
    <mergeCell ref="A1:F1"/>
    <mergeCell ref="A5:F5"/>
    <mergeCell ref="A17:F17"/>
    <mergeCell ref="A18:F18"/>
    <mergeCell ref="A3:F3"/>
    <mergeCell ref="A21:F21"/>
    <mergeCell ref="A20:F20"/>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H24"/>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RELIABILITY &amp; TECHNICAL OPERATIONS ADD-ONS</t>
        </is>
      </c>
    </row>
    <row r="3" ht="18" customHeight="1" s="164">
      <c r="A3" s="74" t="inlineStr">
        <is>
          <t>Monitoring · Alert correlation · Escalation · On-call routing · SLOs · CloudWatch</t>
        </is>
      </c>
    </row>
    <row r="5" ht="19.5" customHeight="1" s="164">
      <c r="A5" s="77" t="inlineStr">
        <is>
          <t xml:space="preserve">  RELIABILITY &amp; MONITORING ADD-ONS</t>
        </is>
      </c>
    </row>
    <row r="6" ht="31.5" customHeight="1" s="164">
      <c r="A6" s="3" t="inlineStr">
        <is>
          <t>Module</t>
        </is>
      </c>
      <c r="B6" s="3" t="inlineStr">
        <is>
          <t>Monthly Fee Low</t>
        </is>
      </c>
      <c r="C6" s="3" t="inlineStr">
        <is>
          <t>Monthly Fee High</t>
        </is>
      </c>
      <c r="D6" s="3" t="inlineStr">
        <is>
          <t>Notes</t>
        </is>
      </c>
      <c r="E6" s="3" t="n"/>
      <c r="F6" s="3" t="n"/>
    </row>
    <row r="7" ht="15.75" customHeight="1" s="164">
      <c r="A7" s="4" t="inlineStr">
        <is>
          <t>Monitoring Integrations</t>
        </is>
      </c>
      <c r="B7" s="9" t="n">
        <v>2500</v>
      </c>
      <c r="C7" s="9" t="n">
        <v>10000</v>
      </c>
      <c r="D7" s="5" t="inlineStr">
        <is>
          <t>Included in Command plan</t>
        </is>
      </c>
      <c r="E7" s="5" t="n"/>
      <c r="F7" s="5" t="n"/>
    </row>
    <row r="8" ht="15.75" customHeight="1" s="164">
      <c r="A8" s="6" t="inlineStr">
        <is>
          <t>Alert Correlation</t>
        </is>
      </c>
      <c r="B8" s="10" t="n">
        <v>2500</v>
      </c>
      <c r="C8" s="10" t="n">
        <v>10000</v>
      </c>
      <c r="D8" s="7" t="n"/>
      <c r="E8" s="7" t="n"/>
      <c r="F8" s="7" t="n"/>
    </row>
    <row r="9" ht="15.75" customHeight="1" s="164">
      <c r="A9" s="4" t="inlineStr">
        <is>
          <t>Escalation Engine</t>
        </is>
      </c>
      <c r="B9" s="9" t="n">
        <v>2500</v>
      </c>
      <c r="C9" s="9" t="n">
        <v>10000</v>
      </c>
      <c r="D9" s="5" t="n"/>
      <c r="E9" s="5" t="n"/>
      <c r="F9" s="5" t="n"/>
    </row>
    <row r="10" ht="15.75" customHeight="1" s="164">
      <c r="A10" s="6" t="inlineStr">
        <is>
          <t>On-Call Routing</t>
        </is>
      </c>
      <c r="B10" s="10" t="n">
        <v>2500</v>
      </c>
      <c r="C10" s="10" t="n">
        <v>10000</v>
      </c>
      <c r="D10" s="7" t="n"/>
      <c r="E10" s="7" t="n"/>
      <c r="F10" s="7" t="n"/>
    </row>
    <row r="11" ht="15.75" customHeight="1" s="164">
      <c r="A11" s="4" t="inlineStr">
        <is>
          <t>SLO Dashboards</t>
        </is>
      </c>
      <c r="B11" s="9" t="n">
        <v>2000</v>
      </c>
      <c r="C11" s="9" t="n">
        <v>7500</v>
      </c>
      <c r="D11" s="5" t="n"/>
      <c r="E11" s="5" t="n"/>
      <c r="F11" s="5" t="n"/>
    </row>
    <row r="12" ht="15.75" customHeight="1" s="164">
      <c r="A12" s="6" t="inlineStr">
        <is>
          <t>Reliability Reporting</t>
        </is>
      </c>
      <c r="B12" s="10" t="n">
        <v>2000</v>
      </c>
      <c r="C12" s="10" t="n">
        <v>7500</v>
      </c>
      <c r="D12" s="7" t="n"/>
      <c r="E12" s="7" t="n"/>
      <c r="F12" s="7" t="n"/>
    </row>
    <row r="13" ht="15.75" customHeight="1" s="164">
      <c r="A13" s="4" t="inlineStr">
        <is>
          <t>24/7 Incident Support Upgrade</t>
        </is>
      </c>
      <c r="B13" s="9" t="n">
        <v>7500</v>
      </c>
      <c r="C13" s="9" t="n">
        <v>25000</v>
      </c>
      <c r="D13" s="5" t="n"/>
      <c r="E13" s="5" t="n"/>
      <c r="F13" s="5" t="n"/>
    </row>
    <row r="14" ht="7.5" customHeight="1" s="164">
      <c r="A14" s="67" t="n"/>
    </row>
    <row r="15" ht="19.5" customHeight="1" s="164">
      <c r="A15" s="77" t="inlineStr">
        <is>
          <t xml:space="preserve">  ONE-TIME RELIABILITY SERVICES</t>
        </is>
      </c>
    </row>
    <row r="16" ht="31.5" customHeight="1" s="164">
      <c r="A16" s="3" t="inlineStr">
        <is>
          <t>Item</t>
        </is>
      </c>
      <c r="B16" s="3" t="inlineStr">
        <is>
          <t>Price Low</t>
        </is>
      </c>
      <c r="C16" s="3" t="inlineStr">
        <is>
          <t>Price High</t>
        </is>
      </c>
      <c r="D16" s="3" t="inlineStr">
        <is>
          <t>Type</t>
        </is>
      </c>
      <c r="E16" s="3" t="inlineStr">
        <is>
          <t>Notes</t>
        </is>
      </c>
      <c r="F16" s="3" t="n"/>
    </row>
    <row r="17" ht="15.75" customHeight="1" s="164">
      <c r="A17" s="4" t="inlineStr">
        <is>
          <t>CloudWatch Dashboard Package</t>
        </is>
      </c>
      <c r="B17" s="9" t="n">
        <v>5000</v>
      </c>
      <c r="C17" s="9" t="n">
        <v>20000</v>
      </c>
      <c r="D17" s="5" t="inlineStr">
        <is>
          <t>One-time</t>
        </is>
      </c>
      <c r="E17" s="5" t="n"/>
      <c r="F17" s="5" t="n"/>
    </row>
    <row r="18" ht="15.75" customHeight="1" s="164">
      <c r="A18" s="6" t="inlineStr">
        <is>
          <t>Agency-Specific Monitoring Connector</t>
        </is>
      </c>
      <c r="B18" s="10" t="n">
        <v>10000</v>
      </c>
      <c r="C18" s="10" t="n">
        <v>50000</v>
      </c>
      <c r="D18" s="7" t="inlineStr">
        <is>
          <t>One-time</t>
        </is>
      </c>
      <c r="E18" s="7" t="n"/>
      <c r="F18" s="7" t="n"/>
    </row>
    <row r="19" ht="7.5" customHeight="1" s="164">
      <c r="A19" s="67" t="n"/>
    </row>
    <row r="20" ht="18" customHeight="1" s="164">
      <c r="A20" s="79" t="inlineStr">
        <is>
          <t xml:space="preserve">  SALES POSITIONING — Reliability &amp; Tech Ops Add-Ons</t>
        </is>
      </c>
    </row>
    <row r="21" ht="15" customHeight="1" s="164">
      <c r="A21" s="75" t="inlineStr">
        <is>
          <t xml:space="preserve">    Gives agencies confidence in system uptime and accountability.</t>
        </is>
      </c>
    </row>
    <row r="22" ht="15" customHeight="1" s="164">
      <c r="A22" s="75" t="inlineStr">
        <is>
          <t xml:space="preserve">    Supports technical transparency during mission-critical operations.</t>
        </is>
      </c>
    </row>
    <row r="23" ht="15" customHeight="1" s="164">
      <c r="A23" s="75" t="inlineStr">
        <is>
          <t xml:space="preserve">    Position for agencies with existing NOC/SOC or formal on-call processes.</t>
        </is>
      </c>
    </row>
    <row r="24" ht="15.75" customHeight="1" s="164">
      <c r="A24" s="76" t="inlineStr">
        <is>
          <t>⚠  INTERNAL USE ONLY</t>
        </is>
      </c>
    </row>
  </sheetData>
  <mergeCells count="12">
    <mergeCell ref="A24:F24"/>
    <mergeCell ref="A2:F2"/>
    <mergeCell ref="A1:F1"/>
    <mergeCell ref="A23:F23"/>
    <mergeCell ref="A5:F5"/>
    <mergeCell ref="A19:H19"/>
    <mergeCell ref="A14:H14"/>
    <mergeCell ref="A22:F22"/>
    <mergeCell ref="A3:F3"/>
    <mergeCell ref="A21:F21"/>
    <mergeCell ref="A20:F20"/>
    <mergeCell ref="A15:F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9"/>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ONSITE DEPLOYMENT SERVICES</t>
        </is>
      </c>
    </row>
    <row r="3" ht="18" customHeight="1" s="164">
      <c r="A3" s="74" t="inlineStr">
        <is>
          <t>Discovery · Installation · Go-live support · Floor support · Travel policy</t>
        </is>
      </c>
    </row>
    <row r="5" ht="19.5" customHeight="1" s="164">
      <c r="A5" s="77" t="inlineStr">
        <is>
          <t xml:space="preserve">  ONSITE SERVICE RATES</t>
        </is>
      </c>
    </row>
    <row r="6" ht="31.5" customHeight="1" s="164">
      <c r="A6" s="3" t="inlineStr">
        <is>
          <t>Service</t>
        </is>
      </c>
      <c r="B6" s="3" t="inlineStr">
        <is>
          <t>Price Low</t>
        </is>
      </c>
      <c r="C6" s="3" t="inlineStr">
        <is>
          <t>Price High</t>
        </is>
      </c>
      <c r="D6" s="3" t="inlineStr">
        <is>
          <t>Plus Travel?</t>
        </is>
      </c>
      <c r="E6" s="3" t="inlineStr">
        <is>
          <t>Notes</t>
        </is>
      </c>
      <c r="F6" s="3" t="n"/>
    </row>
    <row r="7" ht="15.75" customHeight="1" s="164">
      <c r="A7" s="4" t="inlineStr">
        <is>
          <t>Onsite Discovery Visit</t>
        </is>
      </c>
      <c r="B7" s="9" t="n">
        <v>7500</v>
      </c>
      <c r="C7" s="9" t="n">
        <v>15000</v>
      </c>
      <c r="D7" s="11" t="inlineStr">
        <is>
          <t>Yes</t>
        </is>
      </c>
      <c r="E7" s="5" t="n"/>
      <c r="F7" s="5" t="n"/>
    </row>
    <row r="8" ht="15.75" customHeight="1" s="164">
      <c r="A8" s="6" t="inlineStr">
        <is>
          <t>Onsite Installation Support</t>
        </is>
      </c>
      <c r="B8" s="10" t="n">
        <v>15000</v>
      </c>
      <c r="C8" s="10" t="n">
        <v>35000</v>
      </c>
      <c r="D8" s="12" t="inlineStr">
        <is>
          <t>Yes</t>
        </is>
      </c>
      <c r="E8" s="7" t="n"/>
      <c r="F8" s="7" t="n"/>
    </row>
    <row r="9" ht="15.75" customHeight="1" s="164">
      <c r="A9" s="4" t="inlineStr">
        <is>
          <t>Onsite Pilot Launch Support</t>
        </is>
      </c>
      <c r="B9" s="9" t="n">
        <v>20000</v>
      </c>
      <c r="C9" s="9" t="n">
        <v>50000</v>
      </c>
      <c r="D9" s="11" t="inlineStr">
        <is>
          <t>Yes</t>
        </is>
      </c>
      <c r="E9" s="5" t="n"/>
      <c r="F9" s="5" t="n"/>
    </row>
    <row r="10" ht="15.75" customHeight="1" s="164">
      <c r="A10" s="6" t="inlineStr">
        <is>
          <t>Onsite Production Go-Live Support</t>
        </is>
      </c>
      <c r="B10" s="10" t="n">
        <v>35000</v>
      </c>
      <c r="C10" s="10" t="n">
        <v>100000</v>
      </c>
      <c r="D10" s="12" t="inlineStr">
        <is>
          <t>Yes</t>
        </is>
      </c>
      <c r="E10" s="7" t="inlineStr">
        <is>
          <t>High-value, plan carefully</t>
        </is>
      </c>
      <c r="F10" s="7" t="n"/>
    </row>
    <row r="11" ht="15.75" customHeight="1" s="164">
      <c r="A11" s="4" t="inlineStr">
        <is>
          <t>Onsite CAD / Vendor Integration Workshop</t>
        </is>
      </c>
      <c r="B11" s="9" t="n">
        <v>15000</v>
      </c>
      <c r="C11" s="9" t="n">
        <v>50000</v>
      </c>
      <c r="D11" s="11" t="inlineStr">
        <is>
          <t>Yes</t>
        </is>
      </c>
      <c r="E11" s="5" t="n"/>
      <c r="F11" s="5" t="n"/>
    </row>
    <row r="12" ht="15.75" customHeight="1" s="164">
      <c r="A12" s="6" t="inlineStr">
        <is>
          <t>Onsite Dispatcher Floor Support</t>
        </is>
      </c>
      <c r="B12" s="10" t="n">
        <v>10000</v>
      </c>
      <c r="C12" s="10" t="n">
        <v>25000</v>
      </c>
      <c r="D12" s="12" t="inlineStr">
        <is>
          <t>Yes</t>
        </is>
      </c>
      <c r="E12" s="7" t="inlineStr">
        <is>
          <t>Per week</t>
        </is>
      </c>
      <c r="F12" s="7" t="n"/>
    </row>
    <row r="13" ht="15.75" customHeight="1" s="164">
      <c r="A13" s="4" t="inlineStr">
        <is>
          <t>Onsite Executive Briefing</t>
        </is>
      </c>
      <c r="B13" s="9" t="n">
        <v>7500</v>
      </c>
      <c r="C13" s="9" t="n">
        <v>20000</v>
      </c>
      <c r="D13" s="11" t="inlineStr">
        <is>
          <t>Yes</t>
        </is>
      </c>
      <c r="E13" s="5" t="n"/>
      <c r="F13" s="5" t="n"/>
    </row>
    <row r="14" ht="15.75" customHeight="1" s="164">
      <c r="A14" s="6" t="inlineStr">
        <is>
          <t>Onsite After-Action Review</t>
        </is>
      </c>
      <c r="B14" s="10" t="n">
        <v>10000</v>
      </c>
      <c r="C14" s="10" t="n">
        <v>30000</v>
      </c>
      <c r="D14" s="12" t="inlineStr">
        <is>
          <t>Yes</t>
        </is>
      </c>
      <c r="E14" s="7" t="n"/>
      <c r="F14" s="7" t="n"/>
    </row>
    <row r="15" ht="7.5" customHeight="1" s="164">
      <c r="A15" s="67" t="n"/>
    </row>
    <row r="16" ht="19.5" customHeight="1" s="164">
      <c r="A16" s="77" t="inlineStr">
        <is>
          <t xml:space="preserve">  TRAVEL POLICY</t>
        </is>
      </c>
    </row>
    <row r="17" ht="31.5" customHeight="1" s="164">
      <c r="A17" s="3" t="inlineStr">
        <is>
          <t>Travel Item</t>
        </is>
      </c>
      <c r="B17" s="3" t="inlineStr">
        <is>
          <t>Policy</t>
        </is>
      </c>
      <c r="C17" s="3" t="inlineStr">
        <is>
          <t>Notes</t>
        </is>
      </c>
      <c r="D17" s="3" t="n"/>
      <c r="E17" s="3" t="n"/>
      <c r="F17" s="3" t="n"/>
    </row>
    <row r="18" ht="15.75" customHeight="1" s="164">
      <c r="A18" s="4" t="inlineStr">
        <is>
          <t>Airfare</t>
        </is>
      </c>
      <c r="B18" s="5" t="inlineStr">
        <is>
          <t>Actual cost</t>
        </is>
      </c>
      <c r="C18" s="5" t="inlineStr">
        <is>
          <t>Economy unless &gt;3 hrs</t>
        </is>
      </c>
      <c r="D18" s="5" t="n"/>
      <c r="E18" s="5" t="n"/>
      <c r="F18" s="5" t="n"/>
    </row>
    <row r="19" ht="15.75" customHeight="1" s="164">
      <c r="A19" s="6" t="inlineStr">
        <is>
          <t>Hotel</t>
        </is>
      </c>
      <c r="B19" s="7" t="inlineStr">
        <is>
          <t>Actual cost</t>
        </is>
      </c>
      <c r="C19" s="7" t="n"/>
      <c r="D19" s="7" t="n"/>
      <c r="E19" s="7" t="n"/>
      <c r="F19" s="7" t="n"/>
    </row>
    <row r="20" ht="15.75" customHeight="1" s="164">
      <c r="A20" s="4" t="inlineStr">
        <is>
          <t>Rental Car / Rideshare</t>
        </is>
      </c>
      <c r="B20" s="5" t="inlineStr">
        <is>
          <t>Actual cost</t>
        </is>
      </c>
      <c r="C20" s="5" t="n"/>
      <c r="D20" s="5" t="n"/>
      <c r="E20" s="5" t="n"/>
      <c r="F20" s="5" t="n"/>
    </row>
    <row r="21" ht="15.75" customHeight="1" s="164">
      <c r="A21" s="6" t="inlineStr">
        <is>
          <t>Meals / Per Diem</t>
        </is>
      </c>
      <c r="B21" s="7" t="inlineStr">
        <is>
          <t>Federal GSA rate or actual</t>
        </is>
      </c>
      <c r="C21" s="7" t="inlineStr">
        <is>
          <t>Whichever is lower</t>
        </is>
      </c>
      <c r="D21" s="7" t="n"/>
      <c r="E21" s="7" t="n"/>
      <c r="F21" s="7" t="n"/>
    </row>
    <row r="22" ht="15.75" customHeight="1" s="164">
      <c r="A22" s="4" t="inlineStr">
        <is>
          <t>Travel Admin Fee</t>
        </is>
      </c>
      <c r="B22" s="5" t="inlineStr">
        <is>
          <t>Optional 10% markup</t>
        </is>
      </c>
      <c r="C22" s="5" t="inlineStr">
        <is>
          <t>Must be agreed in SOW</t>
        </is>
      </c>
      <c r="D22" s="5" t="n"/>
      <c r="E22" s="5" t="n"/>
      <c r="F22" s="5" t="n"/>
    </row>
    <row r="23" ht="15.75" customHeight="1" s="164">
      <c r="A23" s="6" t="inlineStr">
        <is>
          <t>Minimum Onsite Billing</t>
        </is>
      </c>
      <c r="B23" s="7" t="inlineStr">
        <is>
          <t>2 days</t>
        </is>
      </c>
      <c r="C23" s="7" t="inlineStr">
        <is>
          <t>Applies to all onsite work</t>
        </is>
      </c>
      <c r="D23" s="7" t="n"/>
      <c r="E23" s="7" t="n"/>
      <c r="F23" s="7" t="n"/>
    </row>
    <row r="24" ht="7.5" customHeight="1" s="164">
      <c r="A24" s="67" t="n"/>
    </row>
    <row r="25" ht="18" customHeight="1" s="164">
      <c r="A25" s="79" t="inlineStr">
        <is>
          <t xml:space="preserve">  SALES POSITIONING — Onsite Services</t>
        </is>
      </c>
    </row>
    <row r="26" ht="15" customHeight="1" s="164">
      <c r="A26" s="75" t="inlineStr">
        <is>
          <t xml:space="preserve">    Reduces rollout risk by putting NexCort iQ experts with agency staff.</t>
        </is>
      </c>
    </row>
    <row r="27" ht="15" customHeight="1" s="164">
      <c r="A27" s="75" t="inlineStr">
        <is>
          <t xml:space="preserve">    Especially valuable for complex workflows, multiple stakeholders, or limited internal IT.</t>
        </is>
      </c>
    </row>
    <row r="28" ht="15" customHeight="1" s="164">
      <c r="A28" s="75" t="inlineStr">
        <is>
          <t xml:space="preserve">    Always scope travel separately — never bundle into a fixed project price without a travel cap clause.</t>
        </is>
      </c>
    </row>
    <row r="29" ht="15.75" customHeight="1" s="164">
      <c r="A29" s="76" t="inlineStr">
        <is>
          <t>⚠  INTERNAL USE ONLY</t>
        </is>
      </c>
    </row>
  </sheetData>
  <mergeCells count="12">
    <mergeCell ref="A2:F2"/>
    <mergeCell ref="A16:F16"/>
    <mergeCell ref="A28:F28"/>
    <mergeCell ref="A15:H15"/>
    <mergeCell ref="A24:H24"/>
    <mergeCell ref="A1:F1"/>
    <mergeCell ref="A5:F5"/>
    <mergeCell ref="A27:F27"/>
    <mergeCell ref="A26:F26"/>
    <mergeCell ref="A3:F3"/>
    <mergeCell ref="A29:F29"/>
    <mergeCell ref="A25:F25"/>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33"/>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TRAINING PRICING</t>
        </is>
      </c>
    </row>
    <row r="3" ht="18" customHeight="1" s="164">
      <c r="A3" s="74" t="inlineStr">
        <is>
          <t>Remote &amp; onsite · Dispatcher · Supervisor · Admin · Train-the-trainer · Custom</t>
        </is>
      </c>
    </row>
    <row r="5" ht="19.5" customHeight="1" s="164">
      <c r="A5" s="77" t="inlineStr">
        <is>
          <t xml:space="preserve">  REMOTE TRAINING</t>
        </is>
      </c>
    </row>
    <row r="6" ht="31.5" customHeight="1" s="164">
      <c r="A6" s="3" t="inlineStr">
        <is>
          <t>Package</t>
        </is>
      </c>
      <c r="B6" s="3" t="inlineStr">
        <is>
          <t>Price Low</t>
        </is>
      </c>
      <c r="C6" s="3" t="inlineStr">
        <is>
          <t>Price High</t>
        </is>
      </c>
      <c r="D6" s="3" t="inlineStr">
        <is>
          <t>Notes</t>
        </is>
      </c>
      <c r="E6" s="3" t="n"/>
      <c r="F6" s="3" t="n"/>
    </row>
    <row r="7" ht="15.75" customHeight="1" s="164">
      <c r="A7" s="4" t="inlineStr">
        <is>
          <t>Standard Onboarding</t>
        </is>
      </c>
      <c r="B7" s="11" t="inlineStr">
        <is>
          <t>Included</t>
        </is>
      </c>
      <c r="C7" s="11" t="inlineStr">
        <is>
          <t>Included</t>
        </is>
      </c>
      <c r="D7" s="5" t="inlineStr">
        <is>
          <t>Included in all plans</t>
        </is>
      </c>
      <c r="E7" s="5" t="n"/>
      <c r="F7" s="5" t="n"/>
    </row>
    <row r="8" ht="15.75" customHeight="1" s="164">
      <c r="A8" s="6" t="inlineStr">
        <is>
          <t>Remote Admin Training</t>
        </is>
      </c>
      <c r="B8" s="10" t="n">
        <v>2500</v>
      </c>
      <c r="C8" s="10" t="n">
        <v>7500</v>
      </c>
      <c r="D8" s="7" t="inlineStr">
        <is>
          <t>Per session</t>
        </is>
      </c>
      <c r="E8" s="7" t="n"/>
      <c r="F8" s="7" t="n"/>
    </row>
    <row r="9" ht="15.75" customHeight="1" s="164">
      <c r="A9" s="4" t="inlineStr">
        <is>
          <t>Remote Dispatcher Training</t>
        </is>
      </c>
      <c r="B9" s="9" t="n">
        <v>2500</v>
      </c>
      <c r="C9" s="9" t="n">
        <v>10000</v>
      </c>
      <c r="D9" s="5" t="inlineStr">
        <is>
          <t>Per session</t>
        </is>
      </c>
      <c r="E9" s="5" t="n"/>
      <c r="F9" s="5" t="n"/>
    </row>
    <row r="10" ht="15.75" customHeight="1" s="164">
      <c r="A10" s="6" t="inlineStr">
        <is>
          <t>Remote Supervisor Training</t>
        </is>
      </c>
      <c r="B10" s="10" t="n">
        <v>3500</v>
      </c>
      <c r="C10" s="10" t="n">
        <v>12500</v>
      </c>
      <c r="D10" s="7" t="inlineStr">
        <is>
          <t>Per session</t>
        </is>
      </c>
      <c r="E10" s="7" t="n"/>
      <c r="F10" s="7" t="n"/>
    </row>
    <row r="11" ht="7.5" customHeight="1" s="164">
      <c r="A11" s="67" t="n"/>
    </row>
    <row r="12" ht="19.5" customHeight="1" s="164">
      <c r="A12" s="77" t="inlineStr">
        <is>
          <t xml:space="preserve">  ONSITE TRAINING (plus travel)</t>
        </is>
      </c>
    </row>
    <row r="13" ht="31.5" customHeight="1" s="164">
      <c r="A13" s="3" t="inlineStr">
        <is>
          <t>Package</t>
        </is>
      </c>
      <c r="B13" s="3" t="inlineStr">
        <is>
          <t>Price Low</t>
        </is>
      </c>
      <c r="C13" s="3" t="inlineStr">
        <is>
          <t>Price High</t>
        </is>
      </c>
      <c r="D13" s="3" t="inlineStr">
        <is>
          <t>Plus Travel?</t>
        </is>
      </c>
      <c r="E13" s="3" t="inlineStr">
        <is>
          <t>Notes</t>
        </is>
      </c>
      <c r="F13" s="3" t="n"/>
    </row>
    <row r="14" ht="15.75" customHeight="1" s="164">
      <c r="A14" s="4" t="inlineStr">
        <is>
          <t>Onsite Dispatcher Training</t>
        </is>
      </c>
      <c r="B14" s="9" t="n">
        <v>10000</v>
      </c>
      <c r="C14" s="9" t="n">
        <v>30000</v>
      </c>
      <c r="D14" s="11" t="inlineStr">
        <is>
          <t>Yes</t>
        </is>
      </c>
      <c r="E14" s="5" t="n"/>
      <c r="F14" s="5" t="n"/>
    </row>
    <row r="15" ht="15.75" customHeight="1" s="164">
      <c r="A15" s="6" t="inlineStr">
        <is>
          <t>Onsite Supervisor Training</t>
        </is>
      </c>
      <c r="B15" s="10" t="n">
        <v>10000</v>
      </c>
      <c r="C15" s="10" t="n">
        <v>30000</v>
      </c>
      <c r="D15" s="12" t="inlineStr">
        <is>
          <t>Yes</t>
        </is>
      </c>
      <c r="E15" s="7" t="n"/>
      <c r="F15" s="7" t="n"/>
    </row>
    <row r="16" ht="7.5" customHeight="1" s="164">
      <c r="A16" s="67" t="n"/>
    </row>
    <row r="17" ht="19.5" customHeight="1" s="164">
      <c r="A17" s="77" t="inlineStr">
        <is>
          <t xml:space="preserve">  ADVANCED TRAINING PACKAGES</t>
        </is>
      </c>
    </row>
    <row r="18" ht="31.5" customHeight="1" s="164">
      <c r="A18" s="3" t="inlineStr">
        <is>
          <t>Package</t>
        </is>
      </c>
      <c r="B18" s="3" t="inlineStr">
        <is>
          <t>Price Low</t>
        </is>
      </c>
      <c r="C18" s="3" t="inlineStr">
        <is>
          <t>Price High</t>
        </is>
      </c>
      <c r="D18" s="3" t="inlineStr">
        <is>
          <t>Notes</t>
        </is>
      </c>
      <c r="E18" s="3" t="n"/>
      <c r="F18" s="3" t="n"/>
    </row>
    <row r="19" ht="15.75" customHeight="1" s="164">
      <c r="A19" s="4" t="inlineStr">
        <is>
          <t>Train-the-Trainer Package</t>
        </is>
      </c>
      <c r="B19" s="9" t="n">
        <v>15000</v>
      </c>
      <c r="C19" s="9" t="n">
        <v>50000</v>
      </c>
      <c r="D19" s="5" t="n"/>
      <c r="E19" s="5" t="n"/>
      <c r="F19" s="5" t="n"/>
    </row>
    <row r="20" ht="15.75" customHeight="1" s="164">
      <c r="A20" s="6" t="inlineStr">
        <is>
          <t>Custom Training Materials</t>
        </is>
      </c>
      <c r="B20" s="10" t="n">
        <v>5000</v>
      </c>
      <c r="C20" s="10" t="n">
        <v>20000</v>
      </c>
      <c r="D20" s="7" t="inlineStr">
        <is>
          <t>One-time development fee</t>
        </is>
      </c>
      <c r="E20" s="7" t="n"/>
      <c r="F20" s="7" t="n"/>
    </row>
    <row r="21" ht="15.75" customHeight="1" s="164">
      <c r="A21" s="4" t="inlineStr">
        <is>
          <t>Annual Refresher Training</t>
        </is>
      </c>
      <c r="B21" s="9" t="n">
        <v>10000</v>
      </c>
      <c r="C21" s="9" t="n">
        <v>50000</v>
      </c>
      <c r="D21" s="5" t="inlineStr">
        <is>
          <t>Per year</t>
        </is>
      </c>
      <c r="E21" s="5" t="n"/>
      <c r="F21" s="5" t="n"/>
    </row>
    <row r="22" ht="7.5" customHeight="1" s="164">
      <c r="A22" s="67" t="n"/>
    </row>
    <row r="23" ht="18" customHeight="1" s="164">
      <c r="A23" s="79" t="inlineStr">
        <is>
          <t xml:space="preserve">  SALES POSITIONING — Training Pricing</t>
        </is>
      </c>
    </row>
    <row r="24" ht="15" customHeight="1" s="164">
      <c r="A24" s="75" t="inlineStr">
        <is>
          <t xml:space="preserve">    Training protects the agency from workflow confusion and reduces support burden.</t>
        </is>
      </c>
    </row>
    <row r="25" ht="15" customHeight="1" s="164">
      <c r="A25" s="75" t="inlineStr">
        <is>
          <t xml:space="preserve">    Helps teams understand what NexCort iQ does vs. CAD, CPE, SOPs, and AI decision support.</t>
        </is>
      </c>
    </row>
    <row r="26" ht="15" customHeight="1" s="164">
      <c r="A26" s="75" t="inlineStr">
        <is>
          <t xml:space="preserve">    Train-the-Trainer is high-margin and creates internal champions — recommend for Command+.</t>
        </is>
      </c>
    </row>
    <row r="27" ht="15.75" customHeight="1" s="164">
      <c r="A27" s="76" t="inlineStr">
        <is>
          <t>⚠  INTERNAL USE ONLY</t>
        </is>
      </c>
    </row>
    <row r="29">
      <c r="A29" s="196" t="inlineStr">
        <is>
          <t xml:space="preserve">  VENUE / CONVENTION SECURITY TRAINING (aligned RFP 2396IP)</t>
        </is>
      </c>
    </row>
    <row r="30">
      <c r="A30" s="197" t="inlineStr">
        <is>
          <t>Package</t>
        </is>
      </c>
      <c r="B30" s="197" t="inlineStr">
        <is>
          <t>Price Low</t>
        </is>
      </c>
      <c r="C30" s="197" t="inlineStr">
        <is>
          <t>Price High</t>
        </is>
      </c>
      <c r="D30" s="197" t="inlineStr">
        <is>
          <t>Notes</t>
        </is>
      </c>
    </row>
    <row r="31">
      <c r="A31" s="198" t="inlineStr">
        <is>
          <t>Venue Security end-user training (virtual)</t>
        </is>
      </c>
      <c r="B31" s="199" t="n">
        <v>1500</v>
      </c>
      <c r="C31" s="199" t="n">
        <v>1500</v>
      </c>
      <c r="D31" s="198" t="inlineStr">
        <is>
          <t>Per session · up to 20 · 2 hrs · RFP 2396IP optional rate</t>
        </is>
      </c>
    </row>
    <row r="32">
      <c r="A32" s="198" t="inlineStr">
        <is>
          <t>Venue Security administrator training (virtual)</t>
        </is>
      </c>
      <c r="B32" s="199" t="n">
        <v>2000</v>
      </c>
      <c r="C32" s="199" t="n">
        <v>2000</v>
      </c>
      <c r="D32" s="198" t="inlineStr">
        <is>
          <t>Per session · up to 5 admins · 3 hrs · RFP 2396IP optional rate</t>
        </is>
      </c>
    </row>
    <row r="33">
      <c r="A33" s="198" t="inlineStr">
        <is>
          <t>Venue Security training package (4 sessions)</t>
        </is>
      </c>
      <c r="B33" s="199" t="n">
        <v>3000</v>
      </c>
      <c r="C33" s="199" t="n">
        <v>3000</v>
      </c>
      <c r="D33" s="198" t="inlineStr">
        <is>
          <t>2 end-user + 2 admin · included in Security Dept impl package</t>
        </is>
      </c>
    </row>
  </sheetData>
  <mergeCells count="14">
    <mergeCell ref="A24:F24"/>
    <mergeCell ref="A2:F2"/>
    <mergeCell ref="A1:F1"/>
    <mergeCell ref="A5:F5"/>
    <mergeCell ref="A23:F23"/>
    <mergeCell ref="A27:F27"/>
    <mergeCell ref="A16:H16"/>
    <mergeCell ref="A26:F26"/>
    <mergeCell ref="A11:H11"/>
    <mergeCell ref="A17:F17"/>
    <mergeCell ref="A12:F12"/>
    <mergeCell ref="A25:F25"/>
    <mergeCell ref="A3:F3"/>
    <mergeCell ref="A22:H22"/>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H28"/>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SUPPORT PACKAGES</t>
        </is>
      </c>
    </row>
    <row r="3" ht="18" customHeight="1" s="164">
      <c r="A3" s="74" t="inlineStr">
        <is>
          <t>Standard · Priority · Mission-Critical · Dedicated</t>
        </is>
      </c>
    </row>
    <row r="5" ht="19.5" customHeight="1" s="164">
      <c r="A5" s="77" t="inlineStr">
        <is>
          <t xml:space="preserve">  SUPPORT TIERS OVERVIEW</t>
        </is>
      </c>
    </row>
    <row r="6" ht="31.5" customHeight="1" s="164">
      <c r="A6" s="3" t="inlineStr">
        <is>
          <t>Support Tier</t>
        </is>
      </c>
      <c r="B6" s="3" t="inlineStr">
        <is>
          <t>User Range</t>
        </is>
      </c>
      <c r="C6" s="3" t="inlineStr">
        <is>
          <t>Monthly Fee</t>
        </is>
      </c>
      <c r="D6" s="3" t="inlineStr">
        <is>
          <t>Response SLA</t>
        </is>
      </c>
      <c r="E6" s="3" t="inlineStr">
        <is>
          <t>Key Features</t>
        </is>
      </c>
      <c r="F6" s="3" t="inlineStr">
        <is>
          <t>Notes</t>
        </is>
      </c>
    </row>
    <row r="7" ht="15.75" customHeight="1" s="164">
      <c r="A7" s="4" t="inlineStr">
        <is>
          <t>Standard Support</t>
        </is>
      </c>
      <c r="B7" s="5" t="inlineStr">
        <is>
          <t>All plans</t>
        </is>
      </c>
      <c r="C7" s="11" t="inlineStr">
        <is>
          <t>Included</t>
        </is>
      </c>
      <c r="D7" s="5" t="inlineStr">
        <is>
          <t>Business hours</t>
        </is>
      </c>
      <c r="E7" s="5" t="inlineStr">
        <is>
          <t>Email + KB + onboarding</t>
        </is>
      </c>
      <c r="F7" s="11" t="inlineStr">
        <is>
          <t>Included in base</t>
        </is>
      </c>
    </row>
    <row r="8" ht="15.75" customHeight="1" s="164">
      <c r="A8" s="6" t="inlineStr">
        <is>
          <t>Priority Support — Small</t>
        </is>
      </c>
      <c r="B8" s="7" t="inlineStr">
        <is>
          <t>&lt;25 users</t>
        </is>
      </c>
      <c r="C8" s="7" t="inlineStr">
        <is>
          <t>$2,500/mo</t>
        </is>
      </c>
      <c r="D8" s="7" t="inlineStr">
        <is>
          <t>4-hour response</t>
        </is>
      </c>
      <c r="E8" s="7" t="inlineStr">
        <is>
          <t>Named contact + monthly review</t>
        </is>
      </c>
      <c r="F8" s="7" t="n"/>
    </row>
    <row r="9" ht="15.75" customHeight="1" s="164">
      <c r="A9" s="4" t="inlineStr">
        <is>
          <t>Priority Support — Medium</t>
        </is>
      </c>
      <c r="B9" s="5" t="inlineStr">
        <is>
          <t>25–75 users</t>
        </is>
      </c>
      <c r="C9" s="5" t="inlineStr">
        <is>
          <t>$5,000/mo</t>
        </is>
      </c>
      <c r="D9" s="5" t="inlineStr">
        <is>
          <t>4-hour response</t>
        </is>
      </c>
      <c r="E9" s="5" t="inlineStr">
        <is>
          <t>Named contact + monthly review</t>
        </is>
      </c>
      <c r="F9" s="5" t="n"/>
    </row>
    <row r="10" ht="15.75" customHeight="1" s="164">
      <c r="A10" s="6" t="inlineStr">
        <is>
          <t>Priority Support — Large</t>
        </is>
      </c>
      <c r="B10" s="7" t="inlineStr">
        <is>
          <t>75+ users</t>
        </is>
      </c>
      <c r="C10" s="7" t="inlineStr">
        <is>
          <t>$7,500/mo</t>
        </is>
      </c>
      <c r="D10" s="7" t="inlineStr">
        <is>
          <t>2-hour response</t>
        </is>
      </c>
      <c r="E10" s="7" t="inlineStr">
        <is>
          <t>Named contact + monthly review</t>
        </is>
      </c>
      <c r="F10" s="7" t="n"/>
    </row>
    <row r="11" ht="15.75" customHeight="1" s="164">
      <c r="A11" s="4" t="inlineStr">
        <is>
          <t>Mission-Critical Support</t>
        </is>
      </c>
      <c r="B11" s="5" t="inlineStr">
        <is>
          <t>Command+</t>
        </is>
      </c>
      <c r="C11" s="5" t="inlineStr">
        <is>
          <t>Custom</t>
        </is>
      </c>
      <c r="D11" s="5" t="inlineStr">
        <is>
          <t>1-hour response</t>
        </is>
      </c>
      <c r="E11" s="5" t="inlineStr">
        <is>
          <t>24/7 · escalation handling · exec reviews</t>
        </is>
      </c>
      <c r="F11" s="5" t="inlineStr">
        <is>
          <t>Recommended for Command+</t>
        </is>
      </c>
    </row>
    <row r="12" ht="7.5" customHeight="1" s="164">
      <c r="A12" s="67" t="n"/>
    </row>
    <row r="13" ht="19.5" customHeight="1" s="164">
      <c r="A13" s="77" t="inlineStr">
        <is>
          <t xml:space="preserve">  DEDICATED SUPPORT RESOURCES</t>
        </is>
      </c>
    </row>
    <row r="14" ht="31.5" customHeight="1" s="164">
      <c r="A14" s="3" t="inlineStr">
        <is>
          <t>Resource</t>
        </is>
      </c>
      <c r="B14" s="3" t="inlineStr">
        <is>
          <t>Monthly Fee Low</t>
        </is>
      </c>
      <c r="C14" s="3" t="inlineStr">
        <is>
          <t>Monthly Fee High</t>
        </is>
      </c>
      <c r="D14" s="3" t="inlineStr">
        <is>
          <t>Notes</t>
        </is>
      </c>
      <c r="E14" s="3" t="n"/>
      <c r="F14" s="3" t="n"/>
    </row>
    <row r="15" ht="15.75" customHeight="1" s="164">
      <c r="A15" s="4" t="inlineStr">
        <is>
          <t>Dedicated Support Engineer</t>
        </is>
      </c>
      <c r="B15" s="9" t="n">
        <v>8000</v>
      </c>
      <c r="C15" s="9" t="n">
        <v>20000</v>
      </c>
      <c r="D15" s="5" t="inlineStr">
        <is>
          <t>Named engineer, SLA-bound</t>
        </is>
      </c>
      <c r="E15" s="5" t="n"/>
      <c r="F15" s="5" t="n"/>
    </row>
    <row r="16" ht="15.75" customHeight="1" s="164">
      <c r="A16" s="6" t="inlineStr">
        <is>
          <t>Customer Success Manager (CSM)</t>
        </is>
      </c>
      <c r="B16" s="7" t="inlineStr">
        <is>
          <t>Custom</t>
        </is>
      </c>
      <c r="C16" s="7" t="inlineStr">
        <is>
          <t>Custom</t>
        </is>
      </c>
      <c r="D16" s="7" t="inlineStr">
        <is>
          <t>Enterprise / statewide accounts</t>
        </is>
      </c>
      <c r="E16" s="7" t="n"/>
      <c r="F16" s="7" t="n"/>
    </row>
    <row r="17" ht="15.75" customHeight="1" s="164">
      <c r="A17" s="4" t="inlineStr">
        <is>
          <t>Dedicated Solution Architect</t>
        </is>
      </c>
      <c r="B17" s="5" t="inlineStr">
        <is>
          <t>Custom</t>
        </is>
      </c>
      <c r="C17" s="5" t="inlineStr">
        <is>
          <t>Custom</t>
        </is>
      </c>
      <c r="D17" s="5" t="inlineStr">
        <is>
          <t>Complex integration programs</t>
        </is>
      </c>
      <c r="E17" s="5" t="n"/>
      <c r="F17" s="5" t="n"/>
    </row>
    <row r="18" ht="15.75" customHeight="1" s="164">
      <c r="A18" s="6" t="inlineStr">
        <is>
          <t>Dedicated 24/7 Support Team</t>
        </is>
      </c>
      <c r="B18" s="7" t="inlineStr">
        <is>
          <t>Custom</t>
        </is>
      </c>
      <c r="C18" s="7" t="inlineStr">
        <is>
          <t>Custom</t>
        </is>
      </c>
      <c r="D18" s="7" t="inlineStr">
        <is>
          <t>Per contract</t>
        </is>
      </c>
      <c r="E18" s="7" t="n"/>
      <c r="F18" s="7" t="n"/>
    </row>
    <row r="19" ht="7.5" customHeight="1" s="164">
      <c r="A19" s="67" t="n"/>
    </row>
    <row r="20" ht="18" customHeight="1" s="164">
      <c r="A20" s="79" t="inlineStr">
        <is>
          <t xml:space="preserve">  SALES POSITIONING — Support Packages</t>
        </is>
      </c>
    </row>
    <row r="21" ht="15" customHeight="1" s="164">
      <c r="A21" s="75" t="inlineStr">
        <is>
          <t xml:space="preserve">    Mission-Critical support recommended for Command, Enterprise, and any agency in active production.</t>
        </is>
      </c>
    </row>
    <row r="22" ht="15" customHeight="1" s="164">
      <c r="A22" s="75" t="inlineStr">
        <is>
          <t xml:space="preserve">    Dedicated support turns NexCort iQ from a software vendor into an operational partner.</t>
        </is>
      </c>
    </row>
    <row r="23" ht="15" customHeight="1" s="164">
      <c r="A23" s="75" t="inlineStr">
        <is>
          <t xml:space="preserve">    Priority support is included in Professional — be clear that Mission-Critical is an upgrade.</t>
        </is>
      </c>
    </row>
    <row r="24" ht="15.75" customHeight="1" s="164">
      <c r="A24" s="76" t="inlineStr">
        <is>
          <t>⚠  INTERNAL USE ONLY</t>
        </is>
      </c>
    </row>
    <row r="26">
      <c r="A26" s="196" t="inlineStr">
        <is>
          <t xml:space="preserve">  VENUE / CONVENTION — EXTENDED BUSINESS HOURS (RFP 2396IP)</t>
        </is>
      </c>
    </row>
    <row r="27">
      <c r="A27" s="197" t="inlineStr">
        <is>
          <t>Support Tier</t>
        </is>
      </c>
      <c r="B27" s="197" t="inlineStr">
        <is>
          <t>User Range</t>
        </is>
      </c>
      <c r="C27" s="197" t="inlineStr">
        <is>
          <t>Fee</t>
        </is>
      </c>
      <c r="D27" s="197" t="inlineStr">
        <is>
          <t>Response SLA</t>
        </is>
      </c>
      <c r="E27" s="197" t="inlineStr">
        <is>
          <t>Key Features</t>
        </is>
      </c>
      <c r="F27" s="197" t="inlineStr">
        <is>
          <t>Notes</t>
        </is>
      </c>
    </row>
    <row r="28">
      <c r="A28" s="200" t="inlineStr">
        <is>
          <t>Extended Business Hours Support</t>
        </is>
      </c>
      <c r="B28" s="200" t="inlineStr">
        <is>
          <t>Venue Security Dept (&lt;25 users)</t>
        </is>
      </c>
      <c r="C28" s="201" t="inlineStr">
        <is>
          <t>$7,200/yr ($600/mo)</t>
        </is>
      </c>
      <c r="D28" s="200" t="inlineStr">
        <is>
          <t>P1: 1-hour · P2: 4-hour</t>
        </is>
      </c>
      <c r="E28" s="200" t="inlineStr">
        <is>
          <t>8 AM–8 PM ET Mon–Fri · weekend email ack 4-hr · patches</t>
        </is>
      </c>
      <c r="F28" s="200" t="inlineStr">
        <is>
          <t>List rate used on RFP 2396IP — between Standard (included) and Priority ($2,500/mo)</t>
        </is>
      </c>
    </row>
  </sheetData>
  <mergeCells count="12">
    <mergeCell ref="A12:H12"/>
    <mergeCell ref="A2:F2"/>
    <mergeCell ref="A24:F24"/>
    <mergeCell ref="A13:F13"/>
    <mergeCell ref="A1:F1"/>
    <mergeCell ref="A5:F5"/>
    <mergeCell ref="A23:F23"/>
    <mergeCell ref="A19:H19"/>
    <mergeCell ref="A22:F22"/>
    <mergeCell ref="A3:F3"/>
    <mergeCell ref="A21:F21"/>
    <mergeCell ref="A20:F20"/>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H34"/>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22" customWidth="1" style="164" min="2" max="6"/>
  </cols>
  <sheetData>
    <row r="1" ht="30" customHeight="1" s="164">
      <c r="A1" s="73" t="inlineStr">
        <is>
          <t>NEXCORT IQ — INTERNAL PRICING GUIDE</t>
        </is>
      </c>
    </row>
    <row r="2" ht="24" customHeight="1" s="164">
      <c r="A2" s="78" t="inlineStr">
        <is>
          <t>STORAGE, USAGE &amp; OVERAGES</t>
        </is>
      </c>
    </row>
    <row r="3" ht="18" customHeight="1" s="164">
      <c r="A3" s="74" t="inlineStr">
        <is>
          <t>Included limits by plan · Per-unit overage rates · Call volume · Transcription · Media</t>
        </is>
      </c>
    </row>
    <row r="5" ht="19.5" customHeight="1" s="164">
      <c r="A5" s="77" t="inlineStr">
        <is>
          <t xml:space="preserve">  INCLUDED USAGE BY PLAN</t>
        </is>
      </c>
    </row>
    <row r="6" ht="31.5" customHeight="1" s="164">
      <c r="A6" s="3" t="inlineStr">
        <is>
          <t>Resource</t>
        </is>
      </c>
      <c r="B6" s="3" t="inlineStr">
        <is>
          <t>Essential</t>
        </is>
      </c>
      <c r="C6" s="3" t="inlineStr">
        <is>
          <t>Professional</t>
        </is>
      </c>
      <c r="D6" s="3" t="inlineStr">
        <is>
          <t>Command</t>
        </is>
      </c>
      <c r="E6" s="3" t="inlineStr">
        <is>
          <t>Enterprise</t>
        </is>
      </c>
      <c r="F6" s="3" t="inlineStr">
        <is>
          <t>Notes</t>
        </is>
      </c>
    </row>
    <row r="7" ht="15.75" customHeight="1" s="164">
      <c r="A7" s="4" t="inlineStr">
        <is>
          <t>Storage</t>
        </is>
      </c>
      <c r="B7" s="5" t="inlineStr">
        <is>
          <t>100 GB</t>
        </is>
      </c>
      <c r="C7" s="5" t="inlineStr">
        <is>
          <t>500 GB</t>
        </is>
      </c>
      <c r="D7" s="5" t="inlineStr">
        <is>
          <t>2 TB</t>
        </is>
      </c>
      <c r="E7" s="5" t="inlineStr">
        <is>
          <t>Custom</t>
        </is>
      </c>
      <c r="F7" s="5" t="inlineStr">
        <is>
          <t>Expandable via add-on</t>
        </is>
      </c>
    </row>
    <row r="8" ht="15.75" customHeight="1" s="164">
      <c r="A8" s="6" t="inlineStr">
        <is>
          <t>Call Recording Retention</t>
        </is>
      </c>
      <c r="B8" s="7" t="inlineStr">
        <is>
          <t>90 days</t>
        </is>
      </c>
      <c r="C8" s="7" t="inlineStr">
        <is>
          <t>180 days</t>
        </is>
      </c>
      <c r="D8" s="7" t="inlineStr">
        <is>
          <t>1 year</t>
        </is>
      </c>
      <c r="E8" s="7" t="inlineStr">
        <is>
          <t>Custom</t>
        </is>
      </c>
      <c r="F8" s="7" t="n"/>
    </row>
    <row r="9" ht="15.75" customHeight="1" s="164">
      <c r="A9" s="4" t="inlineStr">
        <is>
          <t>Transcription Volume</t>
        </is>
      </c>
      <c r="B9" s="11" t="inlineStr">
        <is>
          <t>Included</t>
        </is>
      </c>
      <c r="C9" s="11" t="inlineStr">
        <is>
          <t>Included</t>
        </is>
      </c>
      <c r="D9" s="11" t="inlineStr">
        <is>
          <t>Included</t>
        </is>
      </c>
      <c r="E9" s="5" t="inlineStr">
        <is>
          <t>Custom</t>
        </is>
      </c>
      <c r="F9" s="5" t="inlineStr">
        <is>
          <t>Volume limits per contract</t>
        </is>
      </c>
    </row>
    <row r="10" ht="15.75" customHeight="1" s="164">
      <c r="A10" s="6" t="inlineStr">
        <is>
          <t>Translation Requests</t>
        </is>
      </c>
      <c r="B10" s="13" t="inlineStr">
        <is>
          <t>Limited</t>
        </is>
      </c>
      <c r="C10" s="12" t="inlineStr">
        <is>
          <t>Included</t>
        </is>
      </c>
      <c r="D10" s="12" t="inlineStr">
        <is>
          <t>Included</t>
        </is>
      </c>
      <c r="E10" s="7" t="inlineStr">
        <is>
          <t>Custom</t>
        </is>
      </c>
      <c r="F10" s="7" t="n"/>
    </row>
    <row r="11" ht="15.75" customHeight="1" s="164">
      <c r="A11" s="4" t="inlineStr">
        <is>
          <t>API Calls / Month</t>
        </is>
      </c>
      <c r="B11" s="5" t="inlineStr">
        <is>
          <t>Standard</t>
        </is>
      </c>
      <c r="C11" s="5" t="inlineStr">
        <is>
          <t>Standard</t>
        </is>
      </c>
      <c r="D11" s="5" t="inlineStr">
        <is>
          <t>High</t>
        </is>
      </c>
      <c r="E11" s="5" t="inlineStr">
        <is>
          <t>Custom</t>
        </is>
      </c>
      <c r="F11" s="5" t="n"/>
    </row>
    <row r="12" ht="15.75" customHeight="1" s="164">
      <c r="A12" s="6" t="inlineStr">
        <is>
          <t>Media Storage (photos/video)</t>
        </is>
      </c>
      <c r="B12" s="13" t="inlineStr">
        <is>
          <t>Limited</t>
        </is>
      </c>
      <c r="C12" s="7" t="inlineStr">
        <is>
          <t>Standard</t>
        </is>
      </c>
      <c r="D12" s="7" t="inlineStr">
        <is>
          <t>Enhanced</t>
        </is>
      </c>
      <c r="E12" s="7" t="inlineStr">
        <is>
          <t>Custom</t>
        </is>
      </c>
      <c r="F12" s="7" t="n"/>
    </row>
    <row r="13" ht="7.5" customHeight="1" s="164">
      <c r="A13" s="67" t="n"/>
    </row>
    <row r="14" ht="19.5" customHeight="1" s="164">
      <c r="A14" s="77" t="inlineStr">
        <is>
          <t xml:space="preserve">  OVERAGE RATES</t>
        </is>
      </c>
    </row>
    <row r="15" ht="31.5" customHeight="1" s="164">
      <c r="A15" s="3" t="inlineStr">
        <is>
          <t>Resource</t>
        </is>
      </c>
      <c r="B15" s="3" t="inlineStr">
        <is>
          <t>Overage Rate</t>
        </is>
      </c>
      <c r="C15" s="3" t="inlineStr">
        <is>
          <t>Unit</t>
        </is>
      </c>
      <c r="D15" s="3" t="inlineStr">
        <is>
          <t>Notes</t>
        </is>
      </c>
      <c r="E15" s="3" t="n"/>
      <c r="F15" s="3" t="n"/>
    </row>
    <row r="16" ht="15.75" customHeight="1" s="164">
      <c r="A16" s="4" t="inlineStr">
        <is>
          <t>Additional Storage</t>
        </is>
      </c>
      <c r="B16" s="19" t="n">
        <v>0.08</v>
      </c>
      <c r="C16" s="5" t="inlineStr">
        <is>
          <t>per GB / month</t>
        </is>
      </c>
      <c r="D16" s="5" t="inlineStr">
        <is>
          <t>S3 standard + margin</t>
        </is>
      </c>
      <c r="E16" s="5" t="n"/>
      <c r="F16" s="5" t="n"/>
    </row>
    <row r="17" ht="15.75" customHeight="1" s="164">
      <c r="A17" s="6" t="inlineStr">
        <is>
          <t>Additional Call Volume</t>
        </is>
      </c>
      <c r="B17" s="20" t="n">
        <v>0.003</v>
      </c>
      <c r="C17" s="7" t="inlineStr">
        <is>
          <t>per call over limit</t>
        </is>
      </c>
      <c r="D17" s="7" t="inlineStr">
        <is>
          <t>Blended AI processing cost</t>
        </is>
      </c>
      <c r="E17" s="7" t="n"/>
      <c r="F17" s="7" t="n"/>
    </row>
    <row r="18" ht="15.75" customHeight="1" s="164">
      <c r="A18" s="4" t="inlineStr">
        <is>
          <t>Additional Transcription</t>
        </is>
      </c>
      <c r="B18" s="19" t="n">
        <v>0.01</v>
      </c>
      <c r="C18" s="5" t="inlineStr">
        <is>
          <t>per minute over limit</t>
        </is>
      </c>
      <c r="D18" s="5" t="n"/>
      <c r="E18" s="5" t="n"/>
      <c r="F18" s="5" t="n"/>
    </row>
    <row r="19" ht="15.75" customHeight="1" s="164">
      <c r="A19" s="6" t="inlineStr">
        <is>
          <t>Additional Translation Requests</t>
        </is>
      </c>
      <c r="B19" s="20" t="n">
        <v>0.05</v>
      </c>
      <c r="C19" s="7" t="inlineStr">
        <is>
          <t>per request over limit</t>
        </is>
      </c>
      <c r="D19" s="7" t="n"/>
      <c r="E19" s="7" t="n"/>
      <c r="F19" s="7" t="n"/>
    </row>
    <row r="20" ht="15.75" customHeight="1" s="164">
      <c r="A20" s="4" t="inlineStr">
        <is>
          <t>Additional Photo Storage</t>
        </is>
      </c>
      <c r="B20" s="19" t="n">
        <v>0.05</v>
      </c>
      <c r="C20" s="5" t="inlineStr">
        <is>
          <t>per 100 photos over limit</t>
        </is>
      </c>
      <c r="D20" s="5" t="n"/>
      <c r="E20" s="5" t="n"/>
      <c r="F20" s="5" t="n"/>
    </row>
    <row r="21" ht="15.75" customHeight="1" s="164">
      <c r="A21" s="6" t="inlineStr">
        <is>
          <t>Archive Storage</t>
        </is>
      </c>
      <c r="B21" s="20" t="n">
        <v>0.02</v>
      </c>
      <c r="C21" s="7" t="inlineStr">
        <is>
          <t>per GB / month</t>
        </is>
      </c>
      <c r="D21" s="7" t="inlineStr">
        <is>
          <t>Cold storage tier</t>
        </is>
      </c>
      <c r="E21" s="7" t="n"/>
      <c r="F21" s="7" t="n"/>
    </row>
    <row r="22" ht="15.75" customHeight="1" s="164">
      <c r="A22" s="4" t="inlineStr">
        <is>
          <t>Data Export</t>
        </is>
      </c>
      <c r="B22" s="19" t="n">
        <v>0.1</v>
      </c>
      <c r="C22" s="5" t="inlineStr">
        <is>
          <t>per GB exported</t>
        </is>
      </c>
      <c r="D22" s="5" t="inlineStr">
        <is>
          <t>Large exports only</t>
        </is>
      </c>
      <c r="E22" s="5" t="n"/>
      <c r="F22" s="5" t="n"/>
    </row>
    <row r="23" ht="15.75" customHeight="1" s="164">
      <c r="A23" s="6" t="inlineStr">
        <is>
          <t>High-Volume API Use</t>
        </is>
      </c>
      <c r="B23" s="7" t="inlineStr">
        <is>
          <t>Custom</t>
        </is>
      </c>
      <c r="C23" s="7" t="inlineStr">
        <is>
          <t>Custom</t>
        </is>
      </c>
      <c r="D23" s="7" t="inlineStr">
        <is>
          <t>Negotiate in contract</t>
        </is>
      </c>
      <c r="E23" s="7" t="n"/>
      <c r="F23" s="7" t="n"/>
    </row>
    <row r="24" ht="7.5" customHeight="1" s="164">
      <c r="A24" s="67" t="n"/>
    </row>
    <row r="25" ht="18" customHeight="1" s="164">
      <c r="A25" s="79" t="inlineStr">
        <is>
          <t xml:space="preserve">  SALES POSITIONING — Storage &amp; Overages</t>
        </is>
      </c>
    </row>
    <row r="26" ht="15" customHeight="1" s="164">
      <c r="A26" s="75" t="inlineStr">
        <is>
          <t xml:space="preserve">    Overages protect both the agency and NexCort iQ by allowing flexible usage without forcing an immediate plan change.</t>
        </is>
      </c>
    </row>
    <row r="27" ht="15" customHeight="1" s="164">
      <c r="A27" s="75" t="inlineStr">
        <is>
          <t xml:space="preserve">    Useful during storms, major incidents, seasonal spikes, or large-scale emergencies.</t>
        </is>
      </c>
    </row>
    <row r="28" ht="15" customHeight="1" s="164">
      <c r="A28" s="75" t="inlineStr">
        <is>
          <t xml:space="preserve">    Always discuss expected call volumes during discovery to right-size the plan before signing.</t>
        </is>
      </c>
    </row>
    <row r="29" ht="15.75" customHeight="1" s="164">
      <c r="A29" s="76" t="inlineStr">
        <is>
          <t>⚠  INTERNAL USE ONLY</t>
        </is>
      </c>
    </row>
    <row r="31">
      <c r="A31" s="196" t="inlineStr">
        <is>
          <t xml:space="preserve">  VENUE SECURITY DEPARTMENT STORAGE (RFP 2396IP)</t>
        </is>
      </c>
    </row>
    <row r="32">
      <c r="A32" s="197" t="inlineStr">
        <is>
          <t>Item</t>
        </is>
      </c>
      <c r="B32" s="197" t="inlineStr">
        <is>
          <t>Rate</t>
        </is>
      </c>
      <c r="C32" s="197" t="inlineStr">
        <is>
          <t>Unit</t>
        </is>
      </c>
      <c r="D32" s="197" t="inlineStr">
        <is>
          <t>Notes</t>
        </is>
      </c>
    </row>
    <row r="33">
      <c r="A33" s="198" t="inlineStr">
        <is>
          <t>Included storage package (500 GB + 7-year retention)</t>
        </is>
      </c>
      <c r="B33" s="199" t="inlineStr">
        <is>
          <t>$3,600</t>
        </is>
      </c>
      <c r="C33" s="198" t="inlineStr">
        <is>
          <t>per year</t>
        </is>
      </c>
      <c r="D33" s="198" t="inlineStr">
        <is>
          <t>Quoted as recurring line on Security Dept deals</t>
        </is>
      </c>
    </row>
    <row r="34">
      <c r="A34" s="198" t="inlineStr">
        <is>
          <t>Additional storage (Venue Security model)</t>
        </is>
      </c>
      <c r="B34" s="199" t="inlineStr">
        <is>
          <t>$300</t>
        </is>
      </c>
      <c r="C34" s="198" t="inlineStr">
        <is>
          <t>per 100 GB / year</t>
        </is>
      </c>
      <c r="D34" s="198" t="inlineStr">
        <is>
          <t>Min 100 GB · differs from PSAP $0.08/GB/mo overage</t>
        </is>
      </c>
    </row>
  </sheetData>
  <mergeCells count="12">
    <mergeCell ref="A2:F2"/>
    <mergeCell ref="A28:F28"/>
    <mergeCell ref="A14:F14"/>
    <mergeCell ref="A24:H24"/>
    <mergeCell ref="A1:F1"/>
    <mergeCell ref="A5:F5"/>
    <mergeCell ref="A27:F27"/>
    <mergeCell ref="A26:F26"/>
    <mergeCell ref="A13:H13"/>
    <mergeCell ref="A3:F3"/>
    <mergeCell ref="A29:F29"/>
    <mergeCell ref="A25:F25"/>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32"/>
  <sheetViews>
    <sheetView showGridLines="0" zoomScaleNormal="100" workbookViewId="0">
      <pane ySplit="4" topLeftCell="A5" activePane="bottomLeft" state="frozen"/>
      <selection pane="bottomLeft" activeCell="A1" sqref="A1:F1"/>
    </sheetView>
  </sheetViews>
  <sheetFormatPr baseColWidth="10" defaultColWidth="8.6640625" defaultRowHeight="15"/>
  <cols>
    <col width="44" customWidth="1" style="164" min="1" max="1"/>
    <col width="18" customWidth="1" style="164" min="2" max="2"/>
    <col width="22" customWidth="1" style="164" min="3" max="6"/>
  </cols>
  <sheetData>
    <row r="1" ht="30" customHeight="1" s="164">
      <c r="A1" s="73" t="inlineStr">
        <is>
          <t>NEXCORT IQ — INTERNAL PRICING GUIDE</t>
        </is>
      </c>
    </row>
    <row r="2" ht="24" customHeight="1" s="164">
      <c r="A2" s="78" t="inlineStr">
        <is>
          <t>PILOT PROGRAMS</t>
        </is>
      </c>
    </row>
    <row r="3" ht="18" customHeight="1" s="164">
      <c r="A3" s="74" t="inlineStr">
        <is>
          <t>Pre-packaged pilot bundles for common agency profiles</t>
        </is>
      </c>
    </row>
    <row r="5" ht="19.5" customHeight="1" s="164">
      <c r="A5" s="77" t="inlineStr">
        <is>
          <t xml:space="preserve">  PILOT PROGRAM OVERVIEW</t>
        </is>
      </c>
    </row>
    <row r="6" ht="31.5" customHeight="1" s="164">
      <c r="A6" s="3" t="inlineStr">
        <is>
          <t>Program</t>
        </is>
      </c>
      <c r="B6" s="3" t="inlineStr">
        <is>
          <t>Duration</t>
        </is>
      </c>
      <c r="C6" s="3" t="inlineStr">
        <is>
          <t>Fee Low</t>
        </is>
      </c>
      <c r="D6" s="3" t="inlineStr">
        <is>
          <t>Fee High</t>
        </is>
      </c>
      <c r="E6" s="3" t="inlineStr">
        <is>
          <t>Typical Scope</t>
        </is>
      </c>
      <c r="F6" s="3" t="inlineStr">
        <is>
          <t>Notes</t>
        </is>
      </c>
    </row>
    <row r="7" ht="15.75" customHeight="1" s="164">
      <c r="A7" s="4" t="inlineStr">
        <is>
          <t>Small City Pilot</t>
        </is>
      </c>
      <c r="B7" s="5" t="inlineStr">
        <is>
          <t>90 days</t>
        </is>
      </c>
      <c r="C7" s="9" t="n">
        <v>20000</v>
      </c>
      <c r="D7" s="9" t="n">
        <v>40000</v>
      </c>
      <c r="E7" s="5" t="inlineStr">
        <is>
          <t>Essential + setup + onboarding + training + CAD discovery</t>
        </is>
      </c>
      <c r="F7" s="5" t="inlineStr">
        <is>
          <t>Grant-friendly</t>
        </is>
      </c>
    </row>
    <row r="8" ht="15.75" customHeight="1" s="164">
      <c r="A8" s="6" t="inlineStr">
        <is>
          <t>County Professional Pilot</t>
        </is>
      </c>
      <c r="B8" s="7" t="inlineStr">
        <is>
          <t>90 days</t>
        </is>
      </c>
      <c r="C8" s="10" t="n">
        <v>50000</v>
      </c>
      <c r="D8" s="10" t="n">
        <v>100000</v>
      </c>
      <c r="E8" s="7" t="inlineStr">
        <is>
          <t>Professional + translation + caller media + CAD discovery/read-only + training</t>
        </is>
      </c>
      <c r="F8" s="7" t="n"/>
    </row>
    <row r="9" ht="15.75" customHeight="1" s="164">
      <c r="A9" s="4" t="inlineStr">
        <is>
          <t>Command Center Pilot</t>
        </is>
      </c>
      <c r="B9" s="5" t="inlineStr">
        <is>
          <t>90–180 days</t>
        </is>
      </c>
      <c r="C9" s="9" t="n">
        <v>100000</v>
      </c>
      <c r="D9" s="9" t="n">
        <v>250000</v>
      </c>
      <c r="E9" s="5" t="inlineStr">
        <is>
          <t>Command + CAD read-only + major incident + war rooms + onsite + training</t>
        </is>
      </c>
      <c r="F9" s="5" t="n"/>
    </row>
    <row r="10" ht="15.75" customHeight="1" s="164">
      <c r="A10" s="6" t="inlineStr">
        <is>
          <t>Enterprise / Statewide Pilot</t>
        </is>
      </c>
      <c r="B10" s="7" t="inlineStr">
        <is>
          <t>6 months</t>
        </is>
      </c>
      <c r="C10" s="10" t="n">
        <v>250000</v>
      </c>
      <c r="D10" s="10" t="n">
        <v>750000</v>
      </c>
      <c r="E10" s="7" t="inlineStr">
        <is>
          <t>Enterprise architecture + multi-site + custom integrations + dedicated support</t>
        </is>
      </c>
      <c r="F10" s="7" t="inlineStr">
        <is>
          <t>Custom SOW required</t>
        </is>
      </c>
    </row>
    <row r="11" ht="7.5" customHeight="1" s="164">
      <c r="A11" s="67" t="n"/>
    </row>
    <row r="12" ht="18" customHeight="1" s="164">
      <c r="A12" s="79" t="inlineStr">
        <is>
          <t xml:space="preserve">  SALES POSITIONING — Small City Pilot</t>
        </is>
      </c>
    </row>
    <row r="13" ht="15" customHeight="1" s="164">
      <c r="A13" s="75" t="inlineStr">
        <is>
          <t xml:space="preserve">    Smaller municipalities that want to evaluate NexCort iQ without a full production commitment.</t>
        </is>
      </c>
    </row>
    <row r="14" ht="15" customHeight="1" s="164">
      <c r="A14" s="75" t="inlineStr">
        <is>
          <t xml:space="preserve">    Usually includes Essential-level access, setup, onboarding, training, and CAD discovery.</t>
        </is>
      </c>
    </row>
    <row r="15" ht="15" customHeight="1" s="164">
      <c r="A15" s="75" t="inlineStr">
        <is>
          <t xml:space="preserve">    Sales angle: low-risk, practical way to test value, collect feedback, and support grant-funded modernization.</t>
        </is>
      </c>
    </row>
    <row r="16" ht="7.5" customHeight="1" s="164">
      <c r="A16" s="67" t="n"/>
    </row>
    <row r="17" ht="18" customHeight="1" s="164">
      <c r="A17" s="79" t="inlineStr">
        <is>
          <t xml:space="preserve">  SALES POSITIONING — County Professional Pilot</t>
        </is>
      </c>
    </row>
    <row r="18" ht="15" customHeight="1" s="164">
      <c r="A18" s="75" t="inlineStr">
        <is>
          <t xml:space="preserve">    Mid-size cities, counties, or regional PSAPs ready for a broader operational test.</t>
        </is>
      </c>
    </row>
    <row r="19" ht="15" customHeight="1" s="164">
      <c r="A19" s="75" t="inlineStr">
        <is>
          <t xml:space="preserve">    Includes Professional-level features: translation, caller media, QA, and supervisor visibility.</t>
        </is>
      </c>
    </row>
    <row r="20" ht="15" customHeight="1" s="164">
      <c r="A20" s="75" t="inlineStr">
        <is>
          <t xml:space="preserve">    Sales angle: demonstrates value across multiple workflows — not just basic AI triage.</t>
        </is>
      </c>
    </row>
    <row r="21" ht="7.5" customHeight="1" s="164">
      <c r="A21" s="67" t="n"/>
    </row>
    <row r="22" ht="18" customHeight="1" s="164">
      <c r="A22" s="79" t="inlineStr">
        <is>
          <t xml:space="preserve">  SALES POSITIONING — Command Center Pilot</t>
        </is>
      </c>
    </row>
    <row r="23" ht="15" customHeight="1" s="164">
      <c r="A23" s="75" t="inlineStr">
        <is>
          <t xml:space="preserve">    Larger agencies, EOCs, or regional response environments.</t>
        </is>
      </c>
    </row>
    <row r="24" ht="15" customHeight="1" s="164">
      <c r="A24" s="75" t="inlineStr">
        <is>
          <t xml:space="preserve">    May include Command-level tools, war rooms, onsite support, and expanded training.</t>
        </is>
      </c>
    </row>
    <row r="25" ht="15" customHeight="1" s="164">
      <c r="A25" s="75" t="inlineStr">
        <is>
          <t xml:space="preserve">    Sales angle: proves NexCort iQ as a command and coordination platform.</t>
        </is>
      </c>
    </row>
    <row r="26" ht="7.5" customHeight="1" s="164">
      <c r="A26" s="67" t="n"/>
    </row>
    <row r="27" ht="18" customHeight="1" s="164">
      <c r="A27" s="79" t="inlineStr">
        <is>
          <t xml:space="preserve">  SALES POSITIONING — Enterprise / Statewide Program</t>
        </is>
      </c>
    </row>
    <row r="28" ht="15" customHeight="1" s="164">
      <c r="A28" s="75" t="inlineStr">
        <is>
          <t xml:space="preserve">    Full-scale deployment for multi-agency or statewide modernization.</t>
        </is>
      </c>
    </row>
    <row r="29" ht="15" customHeight="1" s="164">
      <c r="A29" s="75" t="inlineStr">
        <is>
          <t xml:space="preserve">    Includes enterprise architecture, multi-site rollout, custom integrations, and dedicated support.</t>
        </is>
      </c>
    </row>
    <row r="30" ht="15" customHeight="1" s="164">
      <c r="A30" s="75" t="inlineStr">
        <is>
          <t xml:space="preserve">    Sales angle: supports long-term public safety transformation — strong fit for statewide grants.</t>
        </is>
      </c>
    </row>
    <row r="31" ht="7.5" customHeight="1" s="164">
      <c r="A31" s="67" t="n"/>
    </row>
    <row r="32" ht="15.75" customHeight="1" s="164">
      <c r="A32" s="76" t="inlineStr">
        <is>
          <t>⚠  INTERNAL USE ONLY — Pilot pricing to be approved by Sales Director before quoting.</t>
        </is>
      </c>
    </row>
  </sheetData>
  <mergeCells count="26">
    <mergeCell ref="A16:F16"/>
    <mergeCell ref="A27:F27"/>
    <mergeCell ref="A11:H11"/>
    <mergeCell ref="A12:F12"/>
    <mergeCell ref="A18:F18"/>
    <mergeCell ref="A26:F26"/>
    <mergeCell ref="A3:F3"/>
    <mergeCell ref="A21:F21"/>
    <mergeCell ref="A2:F2"/>
    <mergeCell ref="A14:F14"/>
    <mergeCell ref="A5:F5"/>
    <mergeCell ref="A23:F23"/>
    <mergeCell ref="A32:F32"/>
    <mergeCell ref="A22:F22"/>
    <mergeCell ref="A17:F17"/>
    <mergeCell ref="A20:F20"/>
    <mergeCell ref="A29:F29"/>
    <mergeCell ref="A28:F28"/>
    <mergeCell ref="A19:F19"/>
    <mergeCell ref="A13:F13"/>
    <mergeCell ref="A31:F31"/>
    <mergeCell ref="A30:F30"/>
    <mergeCell ref="A15:F15"/>
    <mergeCell ref="A24:F24"/>
    <mergeCell ref="A1:F1"/>
    <mergeCell ref="A25:F25"/>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H25"/>
  <sheetViews>
    <sheetView showGridLines="0" zoomScaleNormal="100" workbookViewId="0">
      <pane ySplit="4" topLeftCell="A5" activePane="bottomLeft" state="frozen"/>
      <selection pane="bottomLeft" activeCell="A14" sqref="A14"/>
    </sheetView>
  </sheetViews>
  <sheetFormatPr baseColWidth="10" defaultColWidth="8.6640625" defaultRowHeight="15"/>
  <cols>
    <col width="44" customWidth="1" style="164" min="1" max="1"/>
    <col width="18" customWidth="1" style="164" min="2" max="2"/>
    <col width="24" customWidth="1" style="164" min="3" max="5"/>
    <col width="22" customWidth="1" style="164" min="6" max="6"/>
  </cols>
  <sheetData>
    <row r="1" ht="30" customHeight="1" s="164">
      <c r="A1" s="73" t="inlineStr">
        <is>
          <t>NEXCORT IQ — INTERNAL PRICING GUIDE</t>
        </is>
      </c>
    </row>
    <row r="2" ht="24" customHeight="1" s="164">
      <c r="A2" s="78" t="inlineStr">
        <is>
          <t>DISCOUNTING RULES</t>
        </is>
      </c>
    </row>
    <row r="3" ht="18" customHeight="1" s="164">
      <c r="A3" s="74" t="inlineStr">
        <is>
          <t>Internal — protect pricing discipline while allowing strategic flexibility</t>
        </is>
      </c>
    </row>
    <row r="5" ht="19.5" customHeight="1" s="164">
      <c r="A5" s="77" t="inlineStr">
        <is>
          <t xml:space="preserve">  STANDARD DISCOUNT SCHEDULE</t>
        </is>
      </c>
    </row>
    <row r="6" ht="31.5" customHeight="1" s="164">
      <c r="A6" s="3" t="inlineStr">
        <is>
          <t>Scenario</t>
        </is>
      </c>
      <c r="B6" s="3" t="inlineStr">
        <is>
          <t>Max Discount</t>
        </is>
      </c>
      <c r="C6" s="3" t="inlineStr">
        <is>
          <t>Approval Required</t>
        </is>
      </c>
      <c r="D6" s="3" t="inlineStr">
        <is>
          <t>Notes</t>
        </is>
      </c>
      <c r="E6" s="3" t="n"/>
      <c r="F6" s="3" t="n"/>
    </row>
    <row r="7" ht="15.75" customHeight="1" s="164">
      <c r="A7" s="4" t="inlineStr">
        <is>
          <t>Annual commitment (vs month-to-month)</t>
        </is>
      </c>
      <c r="B7" s="5" t="inlineStr">
        <is>
          <t>10%</t>
        </is>
      </c>
      <c r="C7" s="5" t="inlineStr">
        <is>
          <t>Account Executive</t>
        </is>
      </c>
      <c r="D7" s="5" t="inlineStr">
        <is>
          <t>Standard offer — always available</t>
        </is>
      </c>
      <c r="E7" s="5" t="n"/>
      <c r="F7" s="5" t="n"/>
    </row>
    <row r="8" ht="15.75" customHeight="1" s="164">
      <c r="A8" s="6" t="inlineStr">
        <is>
          <t>2-year commitment</t>
        </is>
      </c>
      <c r="B8" s="7" t="inlineStr">
        <is>
          <t>15%</t>
        </is>
      </c>
      <c r="C8" s="7" t="inlineStr">
        <is>
          <t>Account Executive</t>
        </is>
      </c>
      <c r="D8" s="7" t="n"/>
      <c r="E8" s="7" t="n"/>
      <c r="F8" s="7" t="n"/>
    </row>
    <row r="9" ht="15.75" customHeight="1" s="164">
      <c r="A9" s="4" t="inlineStr">
        <is>
          <t>3-year commitment</t>
        </is>
      </c>
      <c r="B9" s="5" t="inlineStr">
        <is>
          <t>20%</t>
        </is>
      </c>
      <c r="C9" s="5" t="inlineStr">
        <is>
          <t>Sales Director</t>
        </is>
      </c>
      <c r="D9" s="5" t="n"/>
      <c r="E9" s="5" t="n"/>
      <c r="F9" s="5" t="n"/>
    </row>
    <row r="10" ht="15.75" customHeight="1" s="164">
      <c r="A10" s="6" t="inlineStr">
        <is>
          <t>Pilot-to-production conversion</t>
        </is>
      </c>
      <c r="B10" s="7" t="inlineStr">
        <is>
          <t>10%</t>
        </is>
      </c>
      <c r="C10" s="7" t="inlineStr">
        <is>
          <t>Account Executive</t>
        </is>
      </c>
      <c r="D10" s="7" t="inlineStr">
        <is>
          <t>First year only</t>
        </is>
      </c>
      <c r="E10" s="7" t="n"/>
      <c r="F10" s="7" t="n"/>
    </row>
    <row r="11" ht="15.75" customHeight="1" s="164">
      <c r="A11" s="4" t="inlineStr">
        <is>
          <t>Competitive displacement</t>
        </is>
      </c>
      <c r="B11" s="5" t="inlineStr">
        <is>
          <t>15%</t>
        </is>
      </c>
      <c r="C11" s="5" t="inlineStr">
        <is>
          <t>Sales Director</t>
        </is>
      </c>
      <c r="D11" s="5" t="inlineStr">
        <is>
          <t>Requires documentation</t>
        </is>
      </c>
      <c r="E11" s="5" t="n"/>
      <c r="F11" s="5" t="n"/>
    </row>
    <row r="12" ht="15.75" customHeight="1" s="164">
      <c r="A12" s="6" t="inlineStr">
        <is>
          <t>Government / municipal grant-funded</t>
        </is>
      </c>
      <c r="B12" s="7" t="inlineStr">
        <is>
          <t>10%</t>
        </is>
      </c>
      <c r="C12" s="7" t="inlineStr">
        <is>
          <t>Account Executive</t>
        </is>
      </c>
      <c r="D12" s="7" t="n"/>
      <c r="E12" s="7" t="n"/>
      <c r="F12" s="7" t="n"/>
    </row>
    <row r="13" ht="15.75" customHeight="1" s="164">
      <c r="A13" s="4" t="inlineStr">
        <is>
          <t>Bundle discount (3+ add-ons)</t>
        </is>
      </c>
      <c r="B13" s="5" t="inlineStr">
        <is>
          <t>15%</t>
        </is>
      </c>
      <c r="C13" s="5" t="inlineStr">
        <is>
          <t>Account Executive</t>
        </is>
      </c>
      <c r="D13" s="5" t="inlineStr">
        <is>
          <t>Auto-applied</t>
        </is>
      </c>
      <c r="E13" s="5" t="n"/>
      <c r="F13" s="5" t="n"/>
    </row>
    <row r="14" ht="15.75" customHeight="1" s="164">
      <c r="A14" s="6" t="inlineStr">
        <is>
          <t>Nonprofit / tribal agency</t>
        </is>
      </c>
      <c r="B14" s="7" t="inlineStr">
        <is>
          <t>20%</t>
        </is>
      </c>
      <c r="C14" s="7" t="inlineStr">
        <is>
          <t>Sales Director</t>
        </is>
      </c>
      <c r="D14" s="7" t="inlineStr">
        <is>
          <t>Case-by-case</t>
        </is>
      </c>
      <c r="E14" s="7" t="n"/>
      <c r="F14" s="7" t="n"/>
    </row>
    <row r="15" ht="15.75" customHeight="1" s="164">
      <c r="A15" s="4" t="inlineStr">
        <is>
          <t>Strategic / reference account</t>
        </is>
      </c>
      <c r="B15" s="5" t="inlineStr">
        <is>
          <t>25%</t>
        </is>
      </c>
      <c r="C15" s="5" t="inlineStr">
        <is>
          <t>VP of Sales</t>
        </is>
      </c>
      <c r="D15" s="5" t="inlineStr">
        <is>
          <t>Board approval if &gt;25%</t>
        </is>
      </c>
      <c r="E15" s="5" t="n"/>
      <c r="F15" s="5" t="n"/>
    </row>
    <row r="16" ht="7.5" customHeight="1" s="164">
      <c r="A16" s="67" t="n"/>
    </row>
    <row r="17" ht="19.5" customHeight="1" s="164">
      <c r="A17" s="77" t="inlineStr">
        <is>
          <t xml:space="preserve">  PROTECTED LINE ITEMS (DO NOT HEAVILY DISCOUNT)</t>
        </is>
      </c>
    </row>
    <row r="18" ht="31.5" customHeight="1" s="164">
      <c r="A18" s="3" t="inlineStr">
        <is>
          <t>Line Item</t>
        </is>
      </c>
      <c r="B18" s="3" t="inlineStr">
        <is>
          <t>Why Protected</t>
        </is>
      </c>
      <c r="C18" s="3" t="inlineStr">
        <is>
          <t>Guidance</t>
        </is>
      </c>
      <c r="D18" s="3" t="n"/>
      <c r="E18" s="3" t="n"/>
      <c r="F18" s="3" t="n"/>
    </row>
    <row r="19" ht="15.75" customHeight="1" s="164">
      <c r="A19" s="4" t="inlineStr">
        <is>
          <t>CAD Integration</t>
        </is>
      </c>
      <c r="B19" s="5" t="inlineStr">
        <is>
          <t>Significant labor + vendor coordination</t>
        </is>
      </c>
      <c r="C19" s="5" t="inlineStr">
        <is>
          <t>Discount max 5% — scope separately</t>
        </is>
      </c>
      <c r="D19" s="5" t="n"/>
      <c r="E19" s="5" t="n"/>
      <c r="F19" s="5" t="n"/>
    </row>
    <row r="20" ht="15.75" customHeight="1" s="164">
      <c r="A20" s="6" t="inlineStr">
        <is>
          <t>Custom Development</t>
        </is>
      </c>
      <c r="B20" s="7" t="inlineStr">
        <is>
          <t>High labor cost</t>
        </is>
      </c>
      <c r="C20" s="7" t="inlineStr">
        <is>
          <t>No standard discount — scope per SOW</t>
        </is>
      </c>
      <c r="D20" s="7" t="n"/>
      <c r="E20" s="7" t="n"/>
      <c r="F20" s="7" t="n"/>
    </row>
    <row r="21" ht="15.75" customHeight="1" s="164">
      <c r="A21" s="4" t="inlineStr">
        <is>
          <t>Onsite Services</t>
        </is>
      </c>
      <c r="B21" s="5" t="inlineStr">
        <is>
          <t>Travel + staff time</t>
        </is>
      </c>
      <c r="C21" s="5" t="inlineStr">
        <is>
          <t>Discount travel separately if needed</t>
        </is>
      </c>
      <c r="D21" s="5" t="n"/>
      <c r="E21" s="5" t="n"/>
      <c r="F21" s="5" t="n"/>
    </row>
    <row r="22" ht="15.75" customHeight="1" s="164">
      <c r="A22" s="6" t="inlineStr">
        <is>
          <t>Dedicated Support</t>
        </is>
      </c>
      <c r="B22" s="7" t="inlineStr">
        <is>
          <t>Named resource commitment</t>
        </is>
      </c>
      <c r="C22" s="7" t="inlineStr">
        <is>
          <t>No discount — price is the floor</t>
        </is>
      </c>
      <c r="D22" s="7" t="n"/>
      <c r="E22" s="7" t="n"/>
      <c r="F22" s="7" t="n"/>
    </row>
    <row r="23" ht="7.5" customHeight="1" s="164">
      <c r="A23" s="67" t="n"/>
    </row>
    <row r="24" ht="15.75" customHeight="1" s="164">
      <c r="A24" s="80" t="inlineStr">
        <is>
          <t>⚠  Any discount &gt;25% requires VP of Sales + CFO written approval. Never quote below floor without authorization.</t>
        </is>
      </c>
    </row>
    <row r="25" ht="15.75" customHeight="1" s="164">
      <c r="A25" s="76" t="inlineStr">
        <is>
          <t>RULE: Discounts reward commitment, scale, and strategic value — not just pressure to close.</t>
        </is>
      </c>
    </row>
  </sheetData>
  <mergeCells count="9">
    <mergeCell ref="A24:F24"/>
    <mergeCell ref="A2:F2"/>
    <mergeCell ref="A16:H16"/>
    <mergeCell ref="A1:F1"/>
    <mergeCell ref="A5:F5"/>
    <mergeCell ref="A17:F17"/>
    <mergeCell ref="A23:H23"/>
    <mergeCell ref="A3:F3"/>
    <mergeCell ref="A25:F2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J61"/>
  <sheetViews>
    <sheetView topLeftCell="A18" zoomScaleNormal="100" workbookViewId="0">
      <selection activeCell="C40" sqref="C40"/>
    </sheetView>
  </sheetViews>
  <sheetFormatPr baseColWidth="10" defaultColWidth="8.6640625" defaultRowHeight="15"/>
  <cols>
    <col width="28" customWidth="1" style="164" min="1" max="1"/>
    <col width="18" customWidth="1" style="164" min="2" max="3"/>
    <col width="22" customWidth="1" style="164" min="4" max="10"/>
  </cols>
  <sheetData>
    <row r="1">
      <c r="A1" s="116" t="inlineStr">
        <is>
          <t>NEXCORT IQ — INTERNAL PRICING GUIDE</t>
        </is>
      </c>
    </row>
    <row r="2" ht="18" customHeight="1" s="164">
      <c r="A2" s="121" t="inlineStr">
        <is>
          <t>NEXCORT IQ CAMPUS</t>
        </is>
      </c>
    </row>
    <row r="3">
      <c r="A3" s="119" t="inlineStr">
        <is>
          <t>Universities · Colleges · K-12 · Campus safety reporting · QR/NFC · Anonymous &amp; identified reporting · Clery documentation</t>
        </is>
      </c>
    </row>
    <row r="5">
      <c r="A5" s="117" t="inlineStr">
        <is>
          <t xml:space="preserve">  BASE SUBSCRIPTION — PER-STUDENT ANNUAL PRICING</t>
        </is>
      </c>
    </row>
    <row r="6">
      <c r="A6" s="32" t="inlineStr">
        <is>
          <t>Item</t>
        </is>
      </c>
      <c r="B6" s="32" t="inlineStr">
        <is>
          <t>Rate</t>
        </is>
      </c>
      <c r="C6" s="32" t="inlineStr">
        <is>
          <t>Notes</t>
        </is>
      </c>
      <c r="D6" s="32" t="n"/>
      <c r="E6" s="32" t="n"/>
      <c r="F6" s="32" t="n"/>
      <c r="G6" s="32" t="n"/>
      <c r="H6" s="32" t="n"/>
      <c r="I6" s="32" t="n"/>
      <c r="J6" s="32" t="n"/>
    </row>
    <row r="7" ht="65" customHeight="1" s="164">
      <c r="A7" s="33" t="inlineStr">
        <is>
          <t>Annual Rate</t>
        </is>
      </c>
      <c r="B7" s="34" t="inlineStr">
        <is>
          <t>$1.40 per enrolled student / year</t>
        </is>
      </c>
      <c r="C7" s="35" t="inlineStr">
        <is>
          <t>Based on total institutional enrollment. 30% non-user adjustment already applied.</t>
        </is>
      </c>
      <c r="D7" s="36" t="n"/>
      <c r="E7" s="36" t="n"/>
      <c r="F7" s="36" t="n"/>
      <c r="G7" s="36" t="n"/>
      <c r="H7" s="36" t="n"/>
      <c r="I7" s="36" t="n"/>
      <c r="J7" s="36" t="n"/>
    </row>
    <row r="8" ht="39" customHeight="1" s="164">
      <c r="A8" s="37" t="inlineStr">
        <is>
          <t>Minimum Annual Contract</t>
        </is>
      </c>
      <c r="B8" s="38" t="inlineStr">
        <is>
          <t>$15,000 / year</t>
        </is>
      </c>
      <c r="C8" s="39" t="inlineStr">
        <is>
          <t>Applies to institutions under ~10,700 enrolled students.</t>
        </is>
      </c>
      <c r="D8" s="40" t="n"/>
      <c r="E8" s="40" t="n"/>
      <c r="F8" s="40" t="n"/>
      <c r="G8" s="40" t="n"/>
      <c r="H8" s="40" t="n"/>
      <c r="I8" s="40" t="n"/>
      <c r="J8" s="40" t="n"/>
    </row>
    <row r="9" ht="78" customHeight="1" s="164">
      <c r="A9" s="33" t="inlineStr">
        <is>
          <t>Billing Basis</t>
        </is>
      </c>
      <c r="B9" s="34" t="inlineStr">
        <is>
          <t>Total enrollment (census)</t>
        </is>
      </c>
      <c r="C9" s="35" t="inlineStr">
        <is>
          <t>Enrollment figure from most recent official institutional census. Not subject to reduction based on platform utilization.</t>
        </is>
      </c>
      <c r="D9" s="36" t="n"/>
      <c r="E9" s="36" t="n"/>
      <c r="F9" s="36" t="n"/>
      <c r="G9" s="36" t="n"/>
      <c r="H9" s="36" t="n"/>
      <c r="I9" s="36" t="n"/>
      <c r="J9" s="36" t="n"/>
    </row>
    <row r="10" ht="52" customHeight="1" s="164">
      <c r="A10" s="37" t="inlineStr">
        <is>
          <t>Contract Term</t>
        </is>
      </c>
      <c r="B10" s="38" t="inlineStr">
        <is>
          <t>Annual (minimum)</t>
        </is>
      </c>
      <c r="C10" s="39" t="inlineStr">
        <is>
          <t>Multi-year terms available. 3-year term: 10% discount with Sales Director approval.</t>
        </is>
      </c>
      <c r="D10" s="40" t="n"/>
      <c r="E10" s="40" t="n"/>
      <c r="F10" s="40" t="n"/>
      <c r="G10" s="40" t="n"/>
      <c r="H10" s="40" t="n"/>
      <c r="I10" s="40" t="n"/>
      <c r="J10" s="40" t="n"/>
    </row>
    <row r="12">
      <c r="A12" s="117" t="inlineStr">
        <is>
          <t xml:space="preserve">  ANNUAL CONTRACT VALUE — REFERENCE TABLE</t>
        </is>
      </c>
    </row>
    <row r="13">
      <c r="A13" s="32" t="inlineStr">
        <is>
          <t>Institution Type</t>
        </is>
      </c>
      <c r="B13" s="32" t="inlineStr">
        <is>
          <t>Enrollment</t>
        </is>
      </c>
      <c r="C13" s="32" t="inlineStr">
        <is>
          <t>Annual Contract</t>
        </is>
      </c>
      <c r="D13" s="32" t="inlineStr">
        <is>
          <t>Monthly Equivalent</t>
        </is>
      </c>
      <c r="E13" s="32" t="inlineStr">
        <is>
          <t>Notes</t>
        </is>
      </c>
      <c r="F13" s="32" t="n"/>
      <c r="G13" s="32" t="n"/>
      <c r="H13" s="32" t="n"/>
      <c r="I13" s="32" t="n"/>
      <c r="J13" s="32" t="n"/>
    </row>
    <row r="14">
      <c r="A14" s="36" t="inlineStr">
        <is>
          <t>Community College — Small</t>
        </is>
      </c>
      <c r="B14" s="36" t="inlineStr">
        <is>
          <t>4,000</t>
        </is>
      </c>
      <c r="C14" s="34" t="inlineStr">
        <is>
          <t>$15,000</t>
        </is>
      </c>
      <c r="D14" s="34" t="inlineStr">
        <is>
          <t>$1,250</t>
        </is>
      </c>
      <c r="E14" s="35" t="inlineStr">
        <is>
          <t>Minimum applies</t>
        </is>
      </c>
      <c r="F14" s="36" t="n"/>
      <c r="G14" s="36" t="n"/>
      <c r="H14" s="36" t="n"/>
      <c r="I14" s="36" t="n"/>
      <c r="J14" s="36" t="n"/>
    </row>
    <row r="15">
      <c r="A15" s="40" t="inlineStr">
        <is>
          <t>Community College — Large</t>
        </is>
      </c>
      <c r="B15" s="40" t="inlineStr">
        <is>
          <t>18,000</t>
        </is>
      </c>
      <c r="C15" s="38" t="inlineStr">
        <is>
          <t>$25,200</t>
        </is>
      </c>
      <c r="D15" s="38" t="inlineStr">
        <is>
          <t>$2,100</t>
        </is>
      </c>
      <c r="E15" s="39" t="n"/>
      <c r="F15" s="40" t="n"/>
      <c r="G15" s="40" t="n"/>
      <c r="H15" s="40" t="n"/>
      <c r="I15" s="40" t="n"/>
      <c r="J15" s="40" t="n"/>
    </row>
    <row r="16">
      <c r="A16" s="36" t="inlineStr">
        <is>
          <t>Regional University</t>
        </is>
      </c>
      <c r="B16" s="36" t="inlineStr">
        <is>
          <t>12,000</t>
        </is>
      </c>
      <c r="C16" s="34" t="inlineStr">
        <is>
          <t>$16,800</t>
        </is>
      </c>
      <c r="D16" s="34" t="inlineStr">
        <is>
          <t>$1,400</t>
        </is>
      </c>
      <c r="E16" s="35" t="n"/>
      <c r="F16" s="36" t="n"/>
      <c r="G16" s="36" t="n"/>
      <c r="H16" s="36" t="n"/>
      <c r="I16" s="36" t="n"/>
      <c r="J16" s="36" t="n"/>
    </row>
    <row r="17">
      <c r="A17" s="40" t="inlineStr">
        <is>
          <t>Mid-Size State School</t>
        </is>
      </c>
      <c r="B17" s="40" t="inlineStr">
        <is>
          <t>28,000</t>
        </is>
      </c>
      <c r="C17" s="38" t="inlineStr">
        <is>
          <t>$39,200</t>
        </is>
      </c>
      <c r="D17" s="38" t="inlineStr">
        <is>
          <t>$3,267</t>
        </is>
      </c>
      <c r="E17" s="39" t="n"/>
      <c r="F17" s="40" t="n"/>
      <c r="G17" s="40" t="n"/>
      <c r="H17" s="40" t="n"/>
      <c r="I17" s="40" t="n"/>
      <c r="J17" s="40" t="n"/>
    </row>
    <row r="18">
      <c r="A18" s="36" t="inlineStr">
        <is>
          <t>Large State University</t>
        </is>
      </c>
      <c r="B18" s="36" t="inlineStr">
        <is>
          <t>55,000</t>
        </is>
      </c>
      <c r="C18" s="34" t="inlineStr">
        <is>
          <t>$77,000</t>
        </is>
      </c>
      <c r="D18" s="34" t="inlineStr">
        <is>
          <t>$6,417</t>
        </is>
      </c>
      <c r="E18" s="35" t="n"/>
      <c r="F18" s="36" t="n"/>
      <c r="G18" s="36" t="n"/>
      <c r="H18" s="36" t="n"/>
      <c r="I18" s="36" t="n"/>
      <c r="J18" s="36" t="n"/>
    </row>
    <row r="19">
      <c r="A19" s="40" t="inlineStr">
        <is>
          <t>Flagship University</t>
        </is>
      </c>
      <c r="B19" s="40" t="inlineStr">
        <is>
          <t>48,000</t>
        </is>
      </c>
      <c r="C19" s="38" t="inlineStr">
        <is>
          <t>$67,200</t>
        </is>
      </c>
      <c r="D19" s="38" t="inlineStr">
        <is>
          <t>$5,600</t>
        </is>
      </c>
      <c r="E19" s="39" t="n"/>
      <c r="F19" s="40" t="n"/>
      <c r="G19" s="40" t="n"/>
      <c r="H19" s="40" t="n"/>
      <c r="I19" s="40" t="n"/>
      <c r="J19" s="40" t="n"/>
    </row>
    <row r="21">
      <c r="A21" s="117" t="inlineStr">
        <is>
          <t xml:space="preserve">  IMPLEMENTATION — ONE-TIME</t>
        </is>
      </c>
    </row>
    <row r="22">
      <c r="A22" s="32" t="inlineStr">
        <is>
          <t>Enrollment Size</t>
        </is>
      </c>
      <c r="B22" s="32" t="inlineStr">
        <is>
          <t>Implementation Fee</t>
        </is>
      </c>
      <c r="C22" s="32" t="inlineStr">
        <is>
          <t>Includes</t>
        </is>
      </c>
      <c r="D22" s="32" t="n"/>
      <c r="E22" s="32" t="n"/>
      <c r="F22" s="32" t="n"/>
      <c r="G22" s="32" t="n"/>
      <c r="H22" s="32" t="n"/>
      <c r="I22" s="32" t="n"/>
      <c r="J22" s="32" t="n"/>
    </row>
    <row r="23" ht="65" customHeight="1" s="164">
      <c r="A23" s="36" t="inlineStr">
        <is>
          <t>Under 10,000 students</t>
        </is>
      </c>
      <c r="B23" s="34" t="inlineStr">
        <is>
          <t>$8,000</t>
        </is>
      </c>
      <c r="C23" s="35" t="inlineStr">
        <is>
          <t>QR configuration · admin training · zone setup · emergency notification integration · Clery walkthrough</t>
        </is>
      </c>
      <c r="D23" s="36" t="n"/>
      <c r="E23" s="36" t="n"/>
      <c r="F23" s="36" t="n"/>
      <c r="G23" s="36" t="n"/>
      <c r="H23" s="36" t="n"/>
      <c r="I23" s="36" t="n"/>
      <c r="J23" s="36" t="n"/>
    </row>
    <row r="24" ht="39" customHeight="1" s="164">
      <c r="A24" s="40" t="inlineStr">
        <is>
          <t>10,001 – 25,000</t>
        </is>
      </c>
      <c r="B24" s="38" t="inlineStr">
        <is>
          <t>$15,000</t>
        </is>
      </c>
      <c r="C24" s="39" t="inlineStr">
        <is>
          <t>All above + extended zone mapping + multi-building configuration</t>
        </is>
      </c>
      <c r="D24" s="40" t="n"/>
      <c r="E24" s="40" t="n"/>
      <c r="F24" s="40" t="n"/>
      <c r="G24" s="40" t="n"/>
      <c r="H24" s="40" t="n"/>
      <c r="I24" s="40" t="n"/>
      <c r="J24" s="40" t="n"/>
    </row>
    <row r="25" ht="52" customHeight="1" s="164">
      <c r="A25" s="36" t="inlineStr">
        <is>
          <t>25,001 – 50,000</t>
        </is>
      </c>
      <c r="B25" s="34" t="inlineStr">
        <is>
          <t>$25,000</t>
        </is>
      </c>
      <c r="C25" s="35" t="inlineStr">
        <is>
          <t>All above + multi-campus configuration + department admin training</t>
        </is>
      </c>
      <c r="D25" s="36" t="n"/>
      <c r="E25" s="36" t="n"/>
      <c r="F25" s="36" t="n"/>
      <c r="G25" s="36" t="n"/>
      <c r="H25" s="36" t="n"/>
      <c r="I25" s="36" t="n"/>
      <c r="J25" s="36" t="n"/>
    </row>
    <row r="26" ht="65" customHeight="1" s="164">
      <c r="A26" s="40" t="inlineStr">
        <is>
          <t>50,001+</t>
        </is>
      </c>
      <c r="B26" s="38" t="inlineStr">
        <is>
          <t>$35,000</t>
        </is>
      </c>
      <c r="C26" s="39" t="inlineStr">
        <is>
          <t>Full enterprise configuration · dedicated rollout support · custom Clery workflow</t>
        </is>
      </c>
      <c r="D26" s="40" t="n"/>
      <c r="E26" s="40" t="n"/>
      <c r="F26" s="40" t="n"/>
      <c r="G26" s="40" t="n"/>
      <c r="H26" s="40" t="n"/>
      <c r="I26" s="40" t="n"/>
      <c r="J26" s="40" t="n"/>
    </row>
    <row r="28">
      <c r="A28" s="117" t="inlineStr">
        <is>
          <t xml:space="preserve">  INCLUDED IN BASE — ALL CAMPUS PLANS</t>
        </is>
      </c>
    </row>
    <row r="29">
      <c r="A29" s="32" t="inlineStr">
        <is>
          <t>Capability</t>
        </is>
      </c>
      <c r="B29" s="32" t="inlineStr">
        <is>
          <t>Included?</t>
        </is>
      </c>
      <c r="C29" s="32" t="inlineStr">
        <is>
          <t>Notes</t>
        </is>
      </c>
      <c r="D29" s="32" t="n"/>
      <c r="E29" s="32" t="n"/>
      <c r="F29" s="32" t="n"/>
      <c r="G29" s="32" t="n"/>
      <c r="H29" s="32" t="n"/>
      <c r="I29" s="32" t="n"/>
      <c r="J29" s="32" t="n"/>
    </row>
    <row r="30" ht="39" customHeight="1" s="164">
      <c r="A30" s="36" t="inlineStr">
        <is>
          <t>QR-Based Anonymous &amp; Identified Reporting</t>
        </is>
      </c>
      <c r="B30" s="41" t="inlineStr">
        <is>
          <t>Yes</t>
        </is>
      </c>
      <c r="C30" s="35" t="inlineStr">
        <is>
          <t>No app download required — any smartphone camera</t>
        </is>
      </c>
      <c r="D30" s="36" t="n"/>
      <c r="E30" s="36" t="n"/>
      <c r="F30" s="36" t="n"/>
      <c r="G30" s="36" t="n"/>
      <c r="H30" s="36" t="n"/>
      <c r="I30" s="36" t="n"/>
      <c r="J30" s="36" t="n"/>
    </row>
    <row r="31" ht="26" customHeight="1" s="164">
      <c r="A31" s="40" t="inlineStr">
        <is>
          <t>SMS Reporting Channel</t>
        </is>
      </c>
      <c r="B31" s="42" t="inlineStr">
        <is>
          <t>Yes</t>
        </is>
      </c>
      <c r="C31" s="39" t="inlineStr">
        <is>
          <t>Text-based intake with auto-reply</t>
        </is>
      </c>
      <c r="D31" s="40" t="n"/>
      <c r="E31" s="40" t="n"/>
      <c r="F31" s="40" t="n"/>
      <c r="G31" s="40" t="n"/>
      <c r="H31" s="40" t="n"/>
      <c r="I31" s="40" t="n"/>
      <c r="J31" s="40" t="n"/>
    </row>
    <row r="32" ht="26" customHeight="1" s="164">
      <c r="A32" s="36" t="inlineStr">
        <is>
          <t>Two-Way Chat</t>
        </is>
      </c>
      <c r="B32" s="41" t="inlineStr">
        <is>
          <t>Yes</t>
        </is>
      </c>
      <c r="C32" s="35" t="inlineStr">
        <is>
          <t>Dispatcher ↔ student secure messaging</t>
        </is>
      </c>
      <c r="D32" s="36" t="n"/>
      <c r="E32" s="36" t="n"/>
      <c r="F32" s="36" t="n"/>
      <c r="G32" s="36" t="n"/>
      <c r="H32" s="36" t="n"/>
      <c r="I32" s="36" t="n"/>
      <c r="J32" s="36" t="n"/>
    </row>
    <row r="33" ht="26" customHeight="1" s="164">
      <c r="A33" s="40" t="inlineStr">
        <is>
          <t>Photo &amp; Video Evidence Intake</t>
        </is>
      </c>
      <c r="B33" s="42" t="inlineStr">
        <is>
          <t>Yes</t>
        </is>
      </c>
      <c r="C33" s="39" t="inlineStr">
        <is>
          <t>Attached to incident record automatically</t>
        </is>
      </c>
      <c r="D33" s="40" t="n"/>
      <c r="E33" s="40" t="n"/>
      <c r="F33" s="40" t="n"/>
      <c r="G33" s="40" t="n"/>
      <c r="H33" s="40" t="n"/>
      <c r="I33" s="40" t="n"/>
      <c r="J33" s="40" t="n"/>
    </row>
    <row r="34" ht="26" customHeight="1" s="164">
      <c r="A34" s="36" t="inlineStr">
        <is>
          <t>NFC Tag Support</t>
        </is>
      </c>
      <c r="B34" s="41" t="inlineStr">
        <is>
          <t>Yes</t>
        </is>
      </c>
      <c r="C34" s="35" t="inlineStr">
        <is>
          <t>Same URL as QR code — one-tap reporting</t>
        </is>
      </c>
      <c r="D34" s="36" t="n"/>
      <c r="E34" s="36" t="n"/>
      <c r="F34" s="36" t="n"/>
      <c r="G34" s="36" t="n"/>
      <c r="H34" s="36" t="n"/>
      <c r="I34" s="36" t="n"/>
      <c r="J34" s="36" t="n"/>
    </row>
    <row r="35" ht="26" customHeight="1" s="164">
      <c r="A35" s="40" t="inlineStr">
        <is>
          <t>Campus Security Console</t>
        </is>
      </c>
      <c r="B35" s="42" t="inlineStr">
        <is>
          <t>Yes</t>
        </is>
      </c>
      <c r="C35" s="39" t="inlineStr">
        <is>
          <t>Role-based: campus_security role</t>
        </is>
      </c>
      <c r="D35" s="40" t="n"/>
      <c r="E35" s="40" t="n"/>
      <c r="F35" s="40" t="n"/>
      <c r="G35" s="40" t="n"/>
      <c r="H35" s="40" t="n"/>
      <c r="I35" s="40" t="n"/>
      <c r="J35" s="40" t="n"/>
    </row>
    <row r="36" ht="39" customHeight="1" s="164">
      <c r="A36" s="36" t="inlineStr">
        <is>
          <t>Campus Supervisor Dashboard</t>
        </is>
      </c>
      <c r="B36" s="41" t="inlineStr">
        <is>
          <t>Yes</t>
        </is>
      </c>
      <c r="C36" s="35" t="inlineStr">
        <is>
          <t>Live incident map · active reports · escalations</t>
        </is>
      </c>
      <c r="D36" s="36" t="n"/>
      <c r="E36" s="36" t="n"/>
      <c r="F36" s="36" t="n"/>
      <c r="G36" s="36" t="n"/>
      <c r="H36" s="36" t="n"/>
      <c r="I36" s="36" t="n"/>
      <c r="J36" s="36" t="n"/>
    </row>
    <row r="37" ht="39" customHeight="1" s="164">
      <c r="A37" s="40" t="inlineStr">
        <is>
          <t>Campus Admin Console</t>
        </is>
      </c>
      <c r="B37" s="42" t="inlineStr">
        <is>
          <t>Yes</t>
        </is>
      </c>
      <c r="C37" s="39" t="inlineStr">
        <is>
          <t>User management · zone configuration · reporting</t>
        </is>
      </c>
      <c r="D37" s="40" t="n"/>
      <c r="E37" s="40" t="n"/>
      <c r="F37" s="40" t="n"/>
      <c r="G37" s="40" t="n"/>
      <c r="H37" s="40" t="n"/>
      <c r="I37" s="40" t="n"/>
      <c r="J37" s="40" t="n"/>
    </row>
    <row r="38" ht="26" customHeight="1" s="164">
      <c r="A38" s="36" t="inlineStr">
        <is>
          <t>Incident Timeline</t>
        </is>
      </c>
      <c r="B38" s="41" t="inlineStr">
        <is>
          <t>Yes</t>
        </is>
      </c>
      <c r="C38" s="35" t="inlineStr">
        <is>
          <t>Auto-built event log per incident</t>
        </is>
      </c>
      <c r="D38" s="36" t="n"/>
      <c r="E38" s="36" t="n"/>
      <c r="F38" s="36" t="n"/>
      <c r="G38" s="36" t="n"/>
      <c r="H38" s="36" t="n"/>
      <c r="I38" s="36" t="n"/>
      <c r="J38" s="36" t="n"/>
    </row>
    <row r="39" ht="28" customHeight="1" s="164">
      <c r="A39" s="40" t="inlineStr">
        <is>
          <t>Basic Clery Act Documentation Log</t>
        </is>
      </c>
      <c r="B39" s="42" t="inlineStr">
        <is>
          <t>Yes</t>
        </is>
      </c>
      <c r="C39" s="39" t="inlineStr">
        <is>
          <t>Annual Security Report support</t>
        </is>
      </c>
      <c r="D39" s="40" t="n"/>
      <c r="E39" s="40" t="n"/>
      <c r="F39" s="40" t="n"/>
      <c r="G39" s="40" t="n"/>
      <c r="H39" s="40" t="n"/>
      <c r="I39" s="40" t="n"/>
      <c r="J39" s="40" t="n"/>
    </row>
    <row r="40" ht="39" customHeight="1" s="164">
      <c r="A40" s="36" t="inlineStr">
        <is>
          <t>Anonymous Reporting</t>
        </is>
      </c>
      <c r="B40" s="41" t="inlineStr">
        <is>
          <t>Yes</t>
        </is>
      </c>
      <c r="C40" s="35" t="inlineStr">
        <is>
          <t>No identity stored when anonymous mode selected</t>
        </is>
      </c>
      <c r="D40" s="36" t="n"/>
      <c r="E40" s="36" t="n"/>
      <c r="F40" s="36" t="n"/>
      <c r="G40" s="36" t="n"/>
      <c r="H40" s="36" t="n"/>
      <c r="I40" s="36" t="n"/>
      <c r="J40" s="36" t="n"/>
    </row>
    <row r="41" ht="26" customHeight="1" s="164">
      <c r="A41" s="40" t="inlineStr">
        <is>
          <t>Signal Color System</t>
        </is>
      </c>
      <c r="B41" s="42" t="inlineStr">
        <is>
          <t>Yes</t>
        </is>
      </c>
      <c r="C41" s="39" t="inlineStr">
        <is>
          <t>Semantic priority colors in all consoles</t>
        </is>
      </c>
      <c r="D41" s="40" t="n"/>
      <c r="E41" s="40" t="n"/>
      <c r="F41" s="40" t="n"/>
      <c r="G41" s="40" t="n"/>
      <c r="H41" s="40" t="n"/>
      <c r="I41" s="40" t="n"/>
      <c r="J41" s="40" t="n"/>
    </row>
    <row r="42" ht="65" customHeight="1" s="164">
      <c r="A42" s="36" t="inlineStr">
        <is>
          <t>Role-Based Access (5 campus roles)</t>
        </is>
      </c>
      <c r="B42" s="41" t="inlineStr">
        <is>
          <t>Yes</t>
        </is>
      </c>
      <c r="C42" s="35" t="inlineStr">
        <is>
          <t>campus_admin · campus_supervisor · campus_security · campus_counselor · campus_faculty</t>
        </is>
      </c>
      <c r="D42" s="36" t="n"/>
      <c r="E42" s="36" t="n"/>
      <c r="F42" s="36" t="n"/>
      <c r="G42" s="36" t="n"/>
      <c r="H42" s="36" t="n"/>
      <c r="I42" s="36" t="n"/>
      <c r="J42" s="36" t="n"/>
    </row>
    <row r="43">
      <c r="A43" s="40" t="inlineStr">
        <is>
          <t>Standard Support</t>
        </is>
      </c>
      <c r="B43" s="42" t="inlineStr">
        <is>
          <t>Yes</t>
        </is>
      </c>
      <c r="C43" s="39" t="inlineStr">
        <is>
          <t>Included in base</t>
        </is>
      </c>
      <c r="D43" s="40" t="n"/>
      <c r="E43" s="40" t="n"/>
      <c r="F43" s="40" t="n"/>
      <c r="G43" s="40" t="n"/>
      <c r="H43" s="40" t="n"/>
      <c r="I43" s="40" t="n"/>
      <c r="J43" s="40" t="n"/>
    </row>
    <row r="44">
      <c r="A44" s="36" t="inlineStr">
        <is>
          <t>Standard Onboarding</t>
        </is>
      </c>
      <c r="B44" s="41" t="inlineStr">
        <is>
          <t>Yes</t>
        </is>
      </c>
      <c r="C44" s="35" t="inlineStr">
        <is>
          <t>Remote — included</t>
        </is>
      </c>
      <c r="D44" s="36" t="n"/>
      <c r="E44" s="36" t="n"/>
      <c r="F44" s="36" t="n"/>
      <c r="G44" s="36" t="n"/>
      <c r="H44" s="36" t="n"/>
      <c r="I44" s="36" t="n"/>
      <c r="J44" s="36" t="n"/>
    </row>
    <row r="46">
      <c r="A46" s="117" t="inlineStr">
        <is>
          <t xml:space="preserve">  CAMPUS ADD-ONS</t>
        </is>
      </c>
    </row>
    <row r="47">
      <c r="A47" s="32" t="inlineStr">
        <is>
          <t>Add-On</t>
        </is>
      </c>
      <c r="B47" s="32" t="inlineStr">
        <is>
          <t>Price Low / Year</t>
        </is>
      </c>
      <c r="C47" s="32" t="inlineStr">
        <is>
          <t>Price High / Year</t>
        </is>
      </c>
      <c r="D47" s="32" t="inlineStr">
        <is>
          <t>Notes</t>
        </is>
      </c>
      <c r="E47" s="32" t="n"/>
      <c r="F47" s="32" t="n"/>
      <c r="G47" s="32" t="n"/>
      <c r="H47" s="32" t="n"/>
      <c r="I47" s="32" t="n"/>
      <c r="J47" s="32" t="n"/>
    </row>
    <row r="48" ht="26" customHeight="1" s="164">
      <c r="A48" s="36" t="inlineStr">
        <is>
          <t>AI Incident Summary</t>
        </is>
      </c>
      <c r="B48" s="34" t="inlineStr">
        <is>
          <t>$3,000</t>
        </is>
      </c>
      <c r="C48" s="34" t="inlineStr">
        <is>
          <t>$8,000</t>
        </is>
      </c>
      <c r="D48" s="35" t="inlineStr">
        <is>
          <t>On-demand supervisor AI summary · Cortex AI</t>
        </is>
      </c>
      <c r="E48" s="36" t="n"/>
      <c r="F48" s="36" t="n"/>
      <c r="G48" s="36" t="n"/>
      <c r="H48" s="36" t="n"/>
      <c r="I48" s="36" t="n"/>
      <c r="J48" s="36" t="n"/>
    </row>
    <row r="49" ht="26" customHeight="1" s="164">
      <c r="A49" s="40" t="inlineStr">
        <is>
          <t>Advanced Clery Reporting</t>
        </is>
      </c>
      <c r="B49" s="38" t="inlineStr">
        <is>
          <t>$4,000</t>
        </is>
      </c>
      <c r="C49" s="38" t="inlineStr">
        <is>
          <t>$10,000</t>
        </is>
      </c>
      <c r="D49" s="39" t="inlineStr">
        <is>
          <t>Export-ready · audit trail · annual report builder</t>
        </is>
      </c>
      <c r="E49" s="40" t="n"/>
      <c r="F49" s="40" t="n"/>
      <c r="G49" s="40" t="n"/>
      <c r="H49" s="40" t="n"/>
      <c r="I49" s="40" t="n"/>
      <c r="J49" s="40" t="n"/>
    </row>
    <row r="50" ht="26" customHeight="1" s="164">
      <c r="A50" s="36" t="inlineStr">
        <is>
          <t>Zone-Based QR/NFC Reporting</t>
        </is>
      </c>
      <c r="B50" s="34" t="inlineStr">
        <is>
          <t>$3,000</t>
        </is>
      </c>
      <c r="C50" s="34" t="inlineStr">
        <is>
          <t>$7,500</t>
        </is>
      </c>
      <c r="D50" s="35" t="inlineStr">
        <is>
          <t>Additional zones beyond standard config</t>
        </is>
      </c>
      <c r="E50" s="36" t="n"/>
      <c r="F50" s="36" t="n"/>
      <c r="G50" s="36" t="n"/>
      <c r="H50" s="36" t="n"/>
      <c r="I50" s="36" t="n"/>
      <c r="J50" s="36" t="n"/>
    </row>
    <row r="51" ht="28" customHeight="1" s="164">
      <c r="A51" s="40" t="inlineStr">
        <is>
          <t>NexCort iQ Connect — Camera Integ.</t>
        </is>
      </c>
      <c r="B51" s="38" t="inlineStr">
        <is>
          <t>$5,000</t>
        </is>
      </c>
      <c r="C51" s="38" t="inlineStr">
        <is>
          <t>$15,000</t>
        </is>
      </c>
      <c r="D51" s="39" t="inlineStr">
        <is>
          <t>ONVIF/RTSP/WebRTC camera integration</t>
        </is>
      </c>
      <c r="E51" s="40" t="n"/>
      <c r="F51" s="40" t="n"/>
      <c r="G51" s="40" t="n"/>
      <c r="H51" s="40" t="n"/>
      <c r="I51" s="40" t="n"/>
      <c r="J51" s="40" t="n"/>
    </row>
    <row r="52" ht="28" customHeight="1" s="164">
      <c r="A52" s="36" t="inlineStr">
        <is>
          <t>Two-Way Chat Translation (40+ langs)</t>
        </is>
      </c>
      <c r="B52" s="34" t="inlineStr">
        <is>
          <t>$2,500</t>
        </is>
      </c>
      <c r="C52" s="34" t="inlineStr">
        <is>
          <t>$6,000</t>
        </is>
      </c>
      <c r="D52" s="35" t="inlineStr">
        <is>
          <t>Live translation in chat</t>
        </is>
      </c>
      <c r="E52" s="36" t="n"/>
      <c r="F52" s="36" t="n"/>
      <c r="G52" s="36" t="n"/>
      <c r="H52" s="36" t="n"/>
      <c r="I52" s="36" t="n"/>
      <c r="J52" s="36" t="n"/>
    </row>
    <row r="53" ht="26" customHeight="1" s="164">
      <c r="A53" s="40" t="inlineStr">
        <is>
          <t>Analytics Dashboard</t>
        </is>
      </c>
      <c r="B53" s="38" t="inlineStr">
        <is>
          <t>$4,000</t>
        </is>
      </c>
      <c r="C53" s="38" t="inlineStr">
        <is>
          <t>$10,000</t>
        </is>
      </c>
      <c r="D53" s="39" t="inlineStr">
        <is>
          <t>Trend reporting · heat maps · Clery trends</t>
        </is>
      </c>
      <c r="E53" s="40" t="n"/>
      <c r="F53" s="40" t="n"/>
      <c r="G53" s="40" t="n"/>
      <c r="H53" s="40" t="n"/>
      <c r="I53" s="40" t="n"/>
      <c r="J53" s="40" t="n"/>
    </row>
    <row r="54" ht="39" customHeight="1" s="164">
      <c r="A54" s="36" t="inlineStr">
        <is>
          <t>Agency Share Feature</t>
        </is>
      </c>
      <c r="B54" s="34" t="inlineStr">
        <is>
          <t>$1,500</t>
        </is>
      </c>
      <c r="C54" s="34" t="inlineStr">
        <is>
          <t>$1,500</t>
        </is>
      </c>
      <c r="D54" s="35" t="inlineStr">
        <is>
          <t>Cross-agency incident awareness / month — see Feature Add-Ons sheet</t>
        </is>
      </c>
      <c r="E54" s="36" t="n"/>
      <c r="F54" s="36" t="n"/>
      <c r="G54" s="36" t="n"/>
      <c r="H54" s="36" t="n"/>
      <c r="I54" s="36" t="n"/>
      <c r="J54" s="36" t="n"/>
    </row>
    <row r="55" ht="26" customHeight="1" s="164">
      <c r="A55" s="40" t="inlineStr">
        <is>
          <t>SMS Location Acquisition</t>
        </is>
      </c>
      <c r="B55" s="38" t="inlineStr">
        <is>
          <t>$2,500</t>
        </is>
      </c>
      <c r="C55" s="38" t="inlineStr">
        <is>
          <t>$6,000</t>
        </is>
      </c>
      <c r="D55" s="39" t="inlineStr">
        <is>
          <t>Auto-reply location link on text intake</t>
        </is>
      </c>
      <c r="E55" s="40" t="n"/>
      <c r="F55" s="40" t="n"/>
      <c r="G55" s="40" t="n"/>
      <c r="H55" s="40" t="n"/>
      <c r="I55" s="40" t="n"/>
      <c r="J55" s="40" t="n"/>
    </row>
    <row r="56" ht="26" customHeight="1" s="164">
      <c r="A56" s="36" t="inlineStr">
        <is>
          <t>Priority Support</t>
        </is>
      </c>
      <c r="B56" s="34" t="inlineStr">
        <is>
          <t>$1,000</t>
        </is>
      </c>
      <c r="C56" s="34" t="inlineStr">
        <is>
          <t>$3,000</t>
        </is>
      </c>
      <c r="D56" s="35" t="inlineStr">
        <is>
          <t>Per month — 4-hr response · named contact</t>
        </is>
      </c>
      <c r="E56" s="36" t="n"/>
      <c r="F56" s="36" t="n"/>
      <c r="G56" s="36" t="n"/>
      <c r="H56" s="36" t="n"/>
      <c r="I56" s="36" t="n"/>
      <c r="J56" s="36" t="n"/>
    </row>
    <row r="57">
      <c r="A57" s="40" t="inlineStr">
        <is>
          <t>Onsite Training</t>
        </is>
      </c>
      <c r="B57" s="38" t="inlineStr">
        <is>
          <t>$10,000</t>
        </is>
      </c>
      <c r="C57" s="38" t="inlineStr">
        <is>
          <t>$25,000</t>
        </is>
      </c>
      <c r="D57" s="39" t="inlineStr">
        <is>
          <t>One-time · plus travel</t>
        </is>
      </c>
      <c r="E57" s="40" t="n"/>
      <c r="F57" s="40" t="n"/>
      <c r="G57" s="40" t="n"/>
      <c r="H57" s="40" t="n"/>
      <c r="I57" s="40" t="n"/>
      <c r="J57" s="40" t="n"/>
    </row>
    <row r="59">
      <c r="A59" s="120" t="inlineStr">
        <is>
          <t xml:space="preserve">  CONTRACT LANGUAGE NOTE: Fees are calculated on total institutional enrollment from the most recent official enrollment census. Not subject to reduction based on platform utilization rates.</t>
        </is>
      </c>
    </row>
    <row r="60">
      <c r="A60" s="122" t="inlineStr">
        <is>
          <t xml:space="preserve">  SALES POSITIONING: Position as 'the safety layer every campus already needs.' No app download = zero adoption barrier. QR + NFC + SMS = three reporting channels on one sign. Clery documentation is built in — not bolted on.</t>
        </is>
      </c>
    </row>
    <row r="61">
      <c r="A61" s="118" t="inlineStr">
        <is>
          <t>⚠  INTERNAL USE ONLY — Do not share with agencies or prospects without Sales Director approval.</t>
        </is>
      </c>
    </row>
  </sheetData>
  <mergeCells count="11">
    <mergeCell ref="A1:J1"/>
    <mergeCell ref="A46:J46"/>
    <mergeCell ref="A5:J5"/>
    <mergeCell ref="A61:J61"/>
    <mergeCell ref="A3:J3"/>
    <mergeCell ref="A21:J21"/>
    <mergeCell ref="A12:J12"/>
    <mergeCell ref="A59:J59"/>
    <mergeCell ref="A2:J2"/>
    <mergeCell ref="A28:J28"/>
    <mergeCell ref="A60:J60"/>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J120"/>
  <sheetViews>
    <sheetView zoomScaleNormal="100" workbookViewId="0">
      <selection activeCell="F16" sqref="F16"/>
    </sheetView>
  </sheetViews>
  <sheetFormatPr baseColWidth="10" defaultColWidth="8.6640625" defaultRowHeight="15"/>
  <cols>
    <col width="28" customWidth="1" style="164" min="1" max="1"/>
    <col width="18" customWidth="1" style="164" min="2" max="3"/>
    <col width="22" customWidth="1" style="164" min="4" max="10"/>
  </cols>
  <sheetData>
    <row r="1">
      <c r="A1" s="116" t="inlineStr">
        <is>
          <t>NEXCORT IQ — INTERNAL PRICING GUIDE</t>
        </is>
      </c>
    </row>
    <row r="2" ht="18" customHeight="1" s="164">
      <c r="A2" s="121" t="inlineStr">
        <is>
          <t>NEXCORT IQ VENUE</t>
        </is>
      </c>
    </row>
    <row r="3">
      <c r="A3" s="119" t="inlineStr">
        <is>
          <t>Stadiums · Arenas · Convention centers · Concert venues · Fan-to-security communication · QR/NFC · Zone-based reporting</t>
        </is>
      </c>
    </row>
    <row r="5">
      <c r="A5" s="117" t="inlineStr">
        <is>
          <t xml:space="preserve">  BASE SUBSCRIPTION — CAPACITY-BASED ANNUAL PRICING</t>
        </is>
      </c>
    </row>
    <row r="6">
      <c r="A6" s="32" t="inlineStr">
        <is>
          <t>Venue Tier</t>
        </is>
      </c>
      <c r="B6" s="32" t="inlineStr">
        <is>
          <t>Capacity</t>
        </is>
      </c>
      <c r="C6" s="32" t="inlineStr">
        <is>
          <t>Annual Fee</t>
        </is>
      </c>
      <c r="D6" s="32" t="inlineStr">
        <is>
          <t>Monthly Equivalent</t>
        </is>
      </c>
      <c r="E6" s="32" t="inlineStr">
        <is>
          <t>Typical Venue Types</t>
        </is>
      </c>
      <c r="F6" s="32" t="n"/>
      <c r="G6" s="32" t="n"/>
      <c r="H6" s="32" t="n"/>
      <c r="I6" s="32" t="n"/>
      <c r="J6" s="32" t="n"/>
    </row>
    <row r="7" ht="26" customHeight="1" s="164">
      <c r="A7" s="36" t="inlineStr">
        <is>
          <t>Tier 1 — Small Venue</t>
        </is>
      </c>
      <c r="B7" s="36" t="inlineStr">
        <is>
          <t>Under 5,000</t>
        </is>
      </c>
      <c r="C7" s="34" t="inlineStr">
        <is>
          <t>$18,000</t>
        </is>
      </c>
      <c r="D7" s="34" t="inlineStr">
        <is>
          <t>$1,500</t>
        </is>
      </c>
      <c r="E7" s="35" t="inlineStr">
        <is>
          <t>Community centers · amphitheaters · small arenas</t>
        </is>
      </c>
      <c r="F7" s="36" t="n"/>
      <c r="G7" s="36" t="n"/>
      <c r="H7" s="36" t="n"/>
      <c r="I7" s="36" t="n"/>
      <c r="J7" s="36" t="n"/>
    </row>
    <row r="8" ht="26" customHeight="1" s="164">
      <c r="A8" s="40" t="inlineStr">
        <is>
          <t>Tier 2 — Mid Venue</t>
        </is>
      </c>
      <c r="B8" s="40" t="inlineStr">
        <is>
          <t>5,000–20,000</t>
        </is>
      </c>
      <c r="C8" s="38" t="inlineStr">
        <is>
          <t>$28,000</t>
        </is>
      </c>
      <c r="D8" s="38" t="inlineStr">
        <is>
          <t>$2,333</t>
        </is>
      </c>
      <c r="E8" s="39" t="inlineStr">
        <is>
          <t>Mid-size arenas · convention halls · fairgrounds</t>
        </is>
      </c>
      <c r="F8" s="40" t="n"/>
      <c r="G8" s="40" t="n"/>
      <c r="H8" s="40" t="n"/>
      <c r="I8" s="40" t="n"/>
      <c r="J8" s="40" t="n"/>
    </row>
    <row r="9" ht="26" customHeight="1" s="164">
      <c r="A9" s="36" t="inlineStr">
        <is>
          <t>Tier 3 — Large Venue</t>
        </is>
      </c>
      <c r="B9" s="36" t="inlineStr">
        <is>
          <t>20,000–50,000</t>
        </is>
      </c>
      <c r="C9" s="34" t="inlineStr">
        <is>
          <t>$45,000</t>
        </is>
      </c>
      <c r="D9" s="34" t="inlineStr">
        <is>
          <t>$3,750</t>
        </is>
      </c>
      <c r="E9" s="35" t="inlineStr">
        <is>
          <t>Major arenas · ballparks · large concert venues</t>
        </is>
      </c>
      <c r="F9" s="36" t="n"/>
      <c r="G9" s="36" t="n"/>
      <c r="H9" s="36" t="n"/>
      <c r="I9" s="36" t="n"/>
      <c r="J9" s="36" t="n"/>
    </row>
    <row r="10" ht="26" customHeight="1" s="164">
      <c r="A10" s="40" t="inlineStr">
        <is>
          <t>Tier 4 — Stadium</t>
        </is>
      </c>
      <c r="B10" s="40" t="inlineStr">
        <is>
          <t>50,000+</t>
        </is>
      </c>
      <c r="C10" s="38" t="inlineStr">
        <is>
          <t>$72,000</t>
        </is>
      </c>
      <c r="D10" s="38" t="inlineStr">
        <is>
          <t>$6,000</t>
        </is>
      </c>
      <c r="E10" s="39" t="inlineStr">
        <is>
          <t>NFL/MLB/NBA stadiums · large amphitheaters</t>
        </is>
      </c>
      <c r="F10" s="40" t="n"/>
      <c r="G10" s="40" t="n"/>
      <c r="H10" s="40" t="n"/>
      <c r="I10" s="40" t="n"/>
      <c r="J10" s="40" t="n"/>
    </row>
    <row r="11" ht="26" customHeight="1" s="164">
      <c r="A11" s="36" t="inlineStr">
        <is>
          <t>Multi-Venue Package</t>
        </is>
      </c>
      <c r="B11" s="36" t="inlineStr">
        <is>
          <t>2+ venues</t>
        </is>
      </c>
      <c r="C11" s="34" t="inlineStr">
        <is>
          <t>Custom</t>
        </is>
      </c>
      <c r="D11" s="34" t="inlineStr">
        <is>
          <t>Custom</t>
        </is>
      </c>
      <c r="E11" s="35" t="inlineStr">
        <is>
          <t>Volume discount — requires Sales Director approval</t>
        </is>
      </c>
      <c r="F11" s="36" t="n"/>
      <c r="G11" s="36" t="n"/>
      <c r="H11" s="36" t="n"/>
      <c r="I11" s="36" t="n"/>
      <c r="J11" s="36" t="n"/>
    </row>
    <row r="13">
      <c r="A13" s="117" t="inlineStr">
        <is>
          <t xml:space="preserve">  IMPLEMENTATION — ONE-TIME</t>
        </is>
      </c>
    </row>
    <row r="14">
      <c r="A14" s="32" t="inlineStr">
        <is>
          <t>Venue Tier</t>
        </is>
      </c>
      <c r="B14" s="32" t="inlineStr">
        <is>
          <t>Implementation Fee</t>
        </is>
      </c>
      <c r="C14" s="32" t="inlineStr">
        <is>
          <t>Includes</t>
        </is>
      </c>
      <c r="D14" s="32" t="n"/>
      <c r="E14" s="32" t="n"/>
      <c r="F14" s="32" t="n"/>
      <c r="G14" s="32" t="n"/>
      <c r="H14" s="32" t="n"/>
      <c r="I14" s="32" t="n"/>
      <c r="J14" s="32" t="n"/>
    </row>
    <row r="15" ht="52" customHeight="1" s="164">
      <c r="A15" s="36" t="inlineStr">
        <is>
          <t>Tier 1 — Small</t>
        </is>
      </c>
      <c r="B15" s="34" t="inlineStr">
        <is>
          <t>$10,000</t>
        </is>
      </c>
      <c r="C15" s="35" t="inlineStr">
        <is>
          <t>Zone/section setup · staff training · QR/NFC configuration · security console setup</t>
        </is>
      </c>
      <c r="D15" s="36" t="n"/>
      <c r="E15" s="36" t="n"/>
      <c r="F15" s="36" t="n"/>
      <c r="G15" s="36" t="n"/>
      <c r="H15" s="36" t="n"/>
      <c r="I15" s="36" t="n"/>
      <c r="J15" s="36" t="n"/>
    </row>
    <row r="16" ht="52" customHeight="1" s="164">
      <c r="A16" s="40" t="inlineStr">
        <is>
          <t>Tier 2 — Mid</t>
        </is>
      </c>
      <c r="B16" s="38" t="inlineStr">
        <is>
          <t>$18,000</t>
        </is>
      </c>
      <c r="C16" s="39" t="inlineStr">
        <is>
          <t>All above + extended zone mapping · multi-gate config · event type workflows</t>
        </is>
      </c>
      <c r="D16" s="40" t="n"/>
      <c r="E16" s="40" t="n"/>
      <c r="F16" s="40" t="n"/>
      <c r="G16" s="40" t="n"/>
      <c r="H16" s="40" t="n"/>
      <c r="I16" s="40" t="n"/>
      <c r="J16" s="40" t="n"/>
    </row>
    <row r="17" ht="52" customHeight="1" s="164">
      <c r="A17" s="36" t="inlineStr">
        <is>
          <t>Tier 3 — Large</t>
        </is>
      </c>
      <c r="B17" s="34" t="inlineStr">
        <is>
          <t>$28,000</t>
        </is>
      </c>
      <c r="C17" s="35" t="inlineStr">
        <is>
          <t>All above + camera integration planning · multi-section config · command setup</t>
        </is>
      </c>
      <c r="D17" s="36" t="n"/>
      <c r="E17" s="36" t="n"/>
      <c r="F17" s="36" t="n"/>
      <c r="G17" s="36" t="n"/>
      <c r="H17" s="36" t="n"/>
      <c r="I17" s="36" t="n"/>
      <c r="J17" s="36" t="n"/>
    </row>
    <row r="18" ht="52" customHeight="1" s="164">
      <c r="A18" s="40" t="inlineStr">
        <is>
          <t>Tier 4 — Stadium</t>
        </is>
      </c>
      <c r="B18" s="38" t="inlineStr">
        <is>
          <t>$40,000</t>
        </is>
      </c>
      <c r="C18" s="39" t="inlineStr">
        <is>
          <t>Full enterprise config · dedicated rollout · command integration · event protocols</t>
        </is>
      </c>
      <c r="D18" s="40" t="n"/>
      <c r="E18" s="40" t="n"/>
      <c r="F18" s="40" t="n"/>
      <c r="G18" s="40" t="n"/>
      <c r="H18" s="40" t="n"/>
      <c r="I18" s="40" t="n"/>
      <c r="J18" s="40" t="n"/>
    </row>
    <row r="20">
      <c r="A20" s="117" t="inlineStr">
        <is>
          <t xml:space="preserve">  INCLUDED IN BASE — ALL VENUE PLANS</t>
        </is>
      </c>
    </row>
    <row r="21">
      <c r="A21" s="32" t="inlineStr">
        <is>
          <t>Capability</t>
        </is>
      </c>
      <c r="B21" s="32" t="inlineStr">
        <is>
          <t>Included?</t>
        </is>
      </c>
      <c r="C21" s="32" t="inlineStr">
        <is>
          <t>Notes</t>
        </is>
      </c>
      <c r="D21" s="32" t="n"/>
      <c r="E21" s="32" t="n"/>
      <c r="F21" s="32" t="n"/>
      <c r="G21" s="32" t="n"/>
      <c r="H21" s="32" t="n"/>
      <c r="I21" s="32" t="n"/>
      <c r="J21" s="32" t="n"/>
    </row>
    <row r="22" ht="26" customHeight="1" s="164">
      <c r="A22" s="36" t="inlineStr">
        <is>
          <t>QR-Based Fan Reporting</t>
        </is>
      </c>
      <c r="B22" s="41" t="inlineStr">
        <is>
          <t>Yes</t>
        </is>
      </c>
      <c r="C22" s="35" t="inlineStr">
        <is>
          <t>No app download — any smartphone camera</t>
        </is>
      </c>
      <c r="D22" s="36" t="n"/>
      <c r="E22" s="36" t="n"/>
      <c r="F22" s="36" t="n"/>
      <c r="G22" s="36" t="n"/>
      <c r="H22" s="36" t="n"/>
      <c r="I22" s="36" t="n"/>
      <c r="J22" s="36" t="n"/>
    </row>
    <row r="23" ht="39" customHeight="1" s="164">
      <c r="A23" s="40" t="inlineStr">
        <is>
          <t>NFC Tag Support</t>
        </is>
      </c>
      <c r="B23" s="42" t="inlineStr">
        <is>
          <t>Yes</t>
        </is>
      </c>
      <c r="C23" s="39" t="inlineStr">
        <is>
          <t>Tap-to-report on seat backs, concourse signs, restroom entries</t>
        </is>
      </c>
      <c r="D23" s="40" t="n"/>
      <c r="E23" s="40" t="n"/>
      <c r="F23" s="40" t="n"/>
      <c r="G23" s="40" t="n"/>
      <c r="H23" s="40" t="n"/>
      <c r="I23" s="40" t="n"/>
      <c r="J23" s="40" t="n"/>
    </row>
    <row r="24">
      <c r="A24" s="36" t="inlineStr">
        <is>
          <t>SMS Reporting Channel</t>
        </is>
      </c>
      <c r="B24" s="41" t="inlineStr">
        <is>
          <t>Yes</t>
        </is>
      </c>
      <c r="C24" s="35" t="inlineStr">
        <is>
          <t>Text-based intake</t>
        </is>
      </c>
      <c r="D24" s="36" t="n"/>
      <c r="E24" s="36" t="n"/>
      <c r="F24" s="36" t="n"/>
      <c r="G24" s="36" t="n"/>
      <c r="H24" s="36" t="n"/>
      <c r="I24" s="36" t="n"/>
      <c r="J24" s="36" t="n"/>
    </row>
    <row r="25">
      <c r="A25" s="40" t="inlineStr">
        <is>
          <t>Two-Way Chat — Fan to Security</t>
        </is>
      </c>
      <c r="B25" s="42" t="inlineStr">
        <is>
          <t>Yes</t>
        </is>
      </c>
      <c r="C25" s="39" t="inlineStr">
        <is>
          <t>Secure messaging</t>
        </is>
      </c>
      <c r="D25" s="40" t="n"/>
      <c r="E25" s="40" t="n"/>
      <c r="F25" s="40" t="n"/>
      <c r="G25" s="40" t="n"/>
      <c r="H25" s="40" t="n"/>
      <c r="I25" s="40" t="n"/>
      <c r="J25" s="40" t="n"/>
    </row>
    <row r="26" ht="26" customHeight="1" s="164">
      <c r="A26" s="36" t="inlineStr">
        <is>
          <t>Photo &amp; Video Evidence Intake</t>
        </is>
      </c>
      <c r="B26" s="41" t="inlineStr">
        <is>
          <t>Yes</t>
        </is>
      </c>
      <c r="C26" s="35" t="inlineStr">
        <is>
          <t>Attached to incident record</t>
        </is>
      </c>
      <c r="D26" s="36" t="n"/>
      <c r="E26" s="36" t="n"/>
      <c r="F26" s="36" t="n"/>
      <c r="G26" s="36" t="n"/>
      <c r="H26" s="36" t="n"/>
      <c r="I26" s="36" t="n"/>
      <c r="J26" s="36" t="n"/>
    </row>
    <row r="27" ht="28" customHeight="1" s="164">
      <c r="A27" s="40" t="inlineStr">
        <is>
          <t>Zone / Section / Gate Based Reporting</t>
        </is>
      </c>
      <c r="B27" s="42" t="inlineStr">
        <is>
          <t>Yes</t>
        </is>
      </c>
      <c r="C27" s="39" t="inlineStr">
        <is>
          <t>Section + gate pre-filled from QR/NFC scan</t>
        </is>
      </c>
      <c r="D27" s="40" t="n"/>
      <c r="E27" s="40" t="n"/>
      <c r="F27" s="40" t="n"/>
      <c r="G27" s="40" t="n"/>
      <c r="H27" s="40" t="n"/>
      <c r="I27" s="40" t="n"/>
      <c r="J27" s="40" t="n"/>
    </row>
    <row r="28" ht="26" customHeight="1" s="164">
      <c r="A28" s="36" t="inlineStr">
        <is>
          <t>Venue Security Console</t>
        </is>
      </c>
      <c r="B28" s="41" t="inlineStr">
        <is>
          <t>Yes</t>
        </is>
      </c>
      <c r="C28" s="35" t="inlineStr">
        <is>
          <t>venue_security role — Signal color system</t>
        </is>
      </c>
      <c r="D28" s="36" t="n"/>
      <c r="E28" s="36" t="n"/>
      <c r="F28" s="36" t="n"/>
      <c r="G28" s="36" t="n"/>
      <c r="H28" s="36" t="n"/>
      <c r="I28" s="36" t="n"/>
      <c r="J28" s="36" t="n"/>
    </row>
    <row r="29" ht="26" customHeight="1" s="164">
      <c r="A29" s="40" t="inlineStr">
        <is>
          <t>Venue Supervisor Dashboard</t>
        </is>
      </c>
      <c r="B29" s="42" t="inlineStr">
        <is>
          <t>Yes</t>
        </is>
      </c>
      <c r="C29" s="39" t="inlineStr">
        <is>
          <t>Live event view · all zones · escalations</t>
        </is>
      </c>
      <c r="D29" s="40" t="n"/>
      <c r="E29" s="40" t="n"/>
      <c r="F29" s="40" t="n"/>
      <c r="G29" s="40" t="n"/>
      <c r="H29" s="40" t="n"/>
      <c r="I29" s="40" t="n"/>
      <c r="J29" s="40" t="n"/>
    </row>
    <row r="30" ht="39" customHeight="1" s="164">
      <c r="A30" s="36" t="inlineStr">
        <is>
          <t>Venue Admin Console</t>
        </is>
      </c>
      <c r="B30" s="41" t="inlineStr">
        <is>
          <t>Yes</t>
        </is>
      </c>
      <c r="C30" s="35" t="inlineStr">
        <is>
          <t>Staff management · event config · zone setup</t>
        </is>
      </c>
      <c r="D30" s="36" t="n"/>
      <c r="E30" s="36" t="n"/>
      <c r="F30" s="36" t="n"/>
      <c r="G30" s="36" t="n"/>
      <c r="H30" s="36" t="n"/>
      <c r="I30" s="36" t="n"/>
      <c r="J30" s="36" t="n"/>
    </row>
    <row r="31">
      <c r="A31" s="40" t="inlineStr">
        <is>
          <t>Incident Timeline</t>
        </is>
      </c>
      <c r="B31" s="42" t="inlineStr">
        <is>
          <t>Yes</t>
        </is>
      </c>
      <c r="C31" s="39" t="inlineStr">
        <is>
          <t>Auto-built per incident</t>
        </is>
      </c>
      <c r="D31" s="40" t="n"/>
      <c r="E31" s="40" t="n"/>
      <c r="F31" s="40" t="n"/>
      <c r="G31" s="40" t="n"/>
      <c r="H31" s="40" t="n"/>
      <c r="I31" s="40" t="n"/>
      <c r="J31" s="40" t="n"/>
    </row>
    <row r="32">
      <c r="A32" s="36" t="inlineStr">
        <is>
          <t>Signal Color System</t>
        </is>
      </c>
      <c r="B32" s="41" t="inlineStr">
        <is>
          <t>Yes</t>
        </is>
      </c>
      <c r="C32" s="35" t="inlineStr">
        <is>
          <t>Semantic priority colors</t>
        </is>
      </c>
      <c r="D32" s="36" t="n"/>
      <c r="E32" s="36" t="n"/>
      <c r="F32" s="36" t="n"/>
      <c r="G32" s="36" t="n"/>
      <c r="H32" s="36" t="n"/>
      <c r="I32" s="36" t="n"/>
      <c r="J32" s="36" t="n"/>
    </row>
    <row r="33" ht="65" customHeight="1" s="164">
      <c r="A33" s="40" t="inlineStr">
        <is>
          <t>Role-Based Access (5 venue roles)</t>
        </is>
      </c>
      <c r="B33" s="42" t="inlineStr">
        <is>
          <t>Yes</t>
        </is>
      </c>
      <c r="C33" s="39" t="inlineStr">
        <is>
          <t>venue_admin · venue_supervisor · venue_security · venue_operator · venue_guest</t>
        </is>
      </c>
      <c r="D33" s="40" t="n"/>
      <c r="E33" s="40" t="n"/>
      <c r="F33" s="40" t="n"/>
      <c r="G33" s="40" t="n"/>
      <c r="H33" s="40" t="n"/>
      <c r="I33" s="40" t="n"/>
      <c r="J33" s="40" t="n"/>
    </row>
    <row r="34">
      <c r="A34" s="36" t="inlineStr">
        <is>
          <t>Standard Support</t>
        </is>
      </c>
      <c r="B34" s="41" t="inlineStr">
        <is>
          <t>Yes</t>
        </is>
      </c>
      <c r="C34" s="35" t="inlineStr">
        <is>
          <t>Included in base</t>
        </is>
      </c>
      <c r="D34" s="36" t="n"/>
      <c r="E34" s="36" t="n"/>
      <c r="F34" s="36" t="n"/>
      <c r="G34" s="36" t="n"/>
      <c r="H34" s="36" t="n"/>
      <c r="I34" s="36" t="n"/>
      <c r="J34" s="36" t="n"/>
    </row>
    <row r="35">
      <c r="A35" s="40" t="inlineStr">
        <is>
          <t>Standard Onboarding</t>
        </is>
      </c>
      <c r="B35" s="42" t="inlineStr">
        <is>
          <t>Yes</t>
        </is>
      </c>
      <c r="C35" s="39" t="inlineStr">
        <is>
          <t>Remote — included</t>
        </is>
      </c>
      <c r="D35" s="40" t="n"/>
      <c r="E35" s="40" t="n"/>
      <c r="F35" s="40" t="n"/>
      <c r="G35" s="40" t="n"/>
      <c r="H35" s="40" t="n"/>
      <c r="I35" s="40" t="n"/>
      <c r="J35" s="40" t="n"/>
    </row>
    <row r="37">
      <c r="A37" s="202" t="inlineStr">
        <is>
          <t xml:space="preserve">  VENUE ADD-ONS (capacity / guest-reporting product)</t>
        </is>
      </c>
      <c r="B37" s="203" t="n"/>
      <c r="C37" s="203" t="n"/>
      <c r="D37" s="203" t="n"/>
      <c r="E37" s="203" t="n"/>
      <c r="F37" s="203" t="n"/>
      <c r="G37" s="203" t="n"/>
      <c r="H37" s="203" t="n"/>
      <c r="I37" s="203" t="n"/>
      <c r="J37" s="203" t="n"/>
    </row>
    <row r="38">
      <c r="A38" s="204" t="inlineStr">
        <is>
          <t>Add-On</t>
        </is>
      </c>
      <c r="B38" s="204" t="inlineStr">
        <is>
          <t>Price Low / Year</t>
        </is>
      </c>
      <c r="C38" s="204" t="inlineStr">
        <is>
          <t>Price High / Year</t>
        </is>
      </c>
      <c r="D38" s="204" t="inlineStr">
        <is>
          <t>Notes</t>
        </is>
      </c>
      <c r="E38" s="205" t="n"/>
      <c r="F38" s="205" t="n"/>
      <c r="G38" s="205" t="n"/>
      <c r="H38" s="205" t="n"/>
      <c r="I38" s="205" t="n"/>
      <c r="J38" s="205" t="n"/>
    </row>
    <row r="39" ht="26" customHeight="1" s="164">
      <c r="A39" s="206" t="inlineStr">
        <is>
          <t>AI Incident Summary</t>
        </is>
      </c>
      <c r="B39" s="207" t="inlineStr">
        <is>
          <t>$3,000</t>
        </is>
      </c>
      <c r="C39" s="207" t="inlineStr">
        <is>
          <t>$8,000</t>
        </is>
      </c>
      <c r="D39" s="206" t="inlineStr">
        <is>
          <t>On-demand supervisor AI brief · Cortex AI</t>
        </is>
      </c>
      <c r="E39" s="208" t="n"/>
      <c r="F39" s="208" t="n"/>
      <c r="G39" s="208" t="n"/>
      <c r="H39" s="208" t="n"/>
      <c r="I39" s="208" t="n"/>
      <c r="J39" s="208" t="n"/>
    </row>
    <row r="40" ht="28" customHeight="1" s="164">
      <c r="A40" s="206" t="inlineStr">
        <is>
          <t>NexCort iQ Connect — Camera Integ.</t>
        </is>
      </c>
      <c r="B40" s="207" t="inlineStr">
        <is>
          <t>$6,000</t>
        </is>
      </c>
      <c r="C40" s="207" t="inlineStr">
        <is>
          <t>$18,000</t>
        </is>
      </c>
      <c r="D40" s="206" t="inlineStr">
        <is>
          <t>ONVIF/RTSP/WebRTC · venue camera feeds</t>
        </is>
      </c>
      <c r="E40" s="208" t="n"/>
      <c r="F40" s="208" t="n"/>
      <c r="G40" s="208" t="n"/>
      <c r="H40" s="208" t="n"/>
      <c r="I40" s="208" t="n"/>
      <c r="J40" s="208" t="n"/>
    </row>
    <row r="41" ht="26" customHeight="1" s="164">
      <c r="A41" s="206" t="inlineStr">
        <is>
          <t>Live Caller Video Streaming</t>
        </is>
      </c>
      <c r="B41" s="207" t="inlineStr">
        <is>
          <t>$5,000</t>
        </is>
      </c>
      <c r="C41" s="207" t="inlineStr">
        <is>
          <t>$20,000</t>
        </is>
      </c>
      <c r="D41" s="206" t="inlineStr">
        <is>
          <t>Fan-to-security live video · WebRTC</t>
        </is>
      </c>
      <c r="E41" s="208" t="n"/>
      <c r="F41" s="208" t="n"/>
      <c r="G41" s="208" t="n"/>
      <c r="H41" s="208" t="n"/>
      <c r="I41" s="208" t="n"/>
      <c r="J41" s="208" t="n"/>
    </row>
    <row r="42" ht="26" customHeight="1" s="164">
      <c r="A42" s="206" t="inlineStr">
        <is>
          <t>Analytics Dashboard</t>
        </is>
      </c>
      <c r="B42" s="207" t="inlineStr">
        <is>
          <t>$4,000</t>
        </is>
      </c>
      <c r="C42" s="207" t="inlineStr">
        <is>
          <t>$10,000</t>
        </is>
      </c>
      <c r="D42" s="206" t="inlineStr">
        <is>
          <t>Event reports · zone heat maps · scan analytics</t>
        </is>
      </c>
      <c r="E42" s="208" t="n"/>
      <c r="F42" s="208" t="n"/>
      <c r="G42" s="208" t="n"/>
      <c r="H42" s="208" t="n"/>
      <c r="I42" s="208" t="n"/>
      <c r="J42" s="208" t="n"/>
    </row>
    <row r="43" ht="26" customHeight="1" s="164">
      <c r="A43" s="206" t="inlineStr">
        <is>
          <t>Agency Share Feature</t>
        </is>
      </c>
      <c r="B43" s="207" t="inlineStr">
        <is>
          <t>$1,500</t>
        </is>
      </c>
      <c r="C43" s="207" t="inlineStr">
        <is>
          <t>$1,500</t>
        </is>
      </c>
      <c r="D43" s="206" t="inlineStr">
        <is>
          <t>Per month — cross-agency incident awareness</t>
        </is>
      </c>
      <c r="E43" s="208" t="n"/>
      <c r="F43" s="208" t="n"/>
      <c r="G43" s="208" t="n"/>
      <c r="H43" s="208" t="n"/>
      <c r="I43" s="208" t="n"/>
      <c r="J43" s="208" t="n"/>
    </row>
    <row r="44" ht="28" customHeight="1" s="164">
      <c r="A44" s="206" t="inlineStr">
        <is>
          <t>Two-Way Chat Translation (40+ langs)</t>
        </is>
      </c>
      <c r="B44" s="207" t="inlineStr">
        <is>
          <t>$2,500</t>
        </is>
      </c>
      <c r="C44" s="207" t="inlineStr">
        <is>
          <t>$6,000</t>
        </is>
      </c>
      <c r="D44" s="206" t="inlineStr">
        <is>
          <t>Live translation in chat</t>
        </is>
      </c>
      <c r="E44" s="208" t="n"/>
      <c r="F44" s="208" t="n"/>
      <c r="G44" s="208" t="n"/>
      <c r="H44" s="208" t="n"/>
      <c r="I44" s="208" t="n"/>
      <c r="J44" s="208" t="n"/>
    </row>
    <row r="45" ht="26" customHeight="1" s="164">
      <c r="A45" s="206" t="inlineStr">
        <is>
          <t>SMS Location Acquisition</t>
        </is>
      </c>
      <c r="B45" s="207" t="inlineStr">
        <is>
          <t>$2,500</t>
        </is>
      </c>
      <c r="C45" s="207" t="inlineStr">
        <is>
          <t>$6,000</t>
        </is>
      </c>
      <c r="D45" s="206" t="inlineStr">
        <is>
          <t>Auto-reply location link on text intake</t>
        </is>
      </c>
      <c r="E45" s="208" t="n"/>
      <c r="F45" s="208" t="n"/>
      <c r="G45" s="208" t="n"/>
      <c r="H45" s="208" t="n"/>
      <c r="I45" s="208" t="n"/>
      <c r="J45" s="208" t="n"/>
    </row>
    <row r="46">
      <c r="A46" s="206" t="inlineStr">
        <is>
          <t>Priority Support</t>
        </is>
      </c>
      <c r="B46" s="207" t="inlineStr">
        <is>
          <t>$1,000</t>
        </is>
      </c>
      <c r="C46" s="207" t="inlineStr">
        <is>
          <t>$3,000</t>
        </is>
      </c>
      <c r="D46" s="206" t="inlineStr">
        <is>
          <t>Per month — 4-hr response</t>
        </is>
      </c>
      <c r="E46" s="208" t="n"/>
      <c r="F46" s="208" t="n"/>
      <c r="G46" s="208" t="n"/>
      <c r="H46" s="208" t="n"/>
      <c r="I46" s="208" t="n"/>
      <c r="J46" s="208" t="n"/>
    </row>
    <row r="47">
      <c r="A47" s="206" t="inlineStr">
        <is>
          <t>Onsite Event Support</t>
        </is>
      </c>
      <c r="B47" s="207" t="inlineStr">
        <is>
          <t>$10,000</t>
        </is>
      </c>
      <c r="C47" s="207" t="inlineStr">
        <is>
          <t>$30,000</t>
        </is>
      </c>
      <c r="D47" s="206" t="inlineStr">
        <is>
          <t>Per event · plus travel</t>
        </is>
      </c>
      <c r="E47" s="208" t="n"/>
      <c r="F47" s="208" t="n"/>
      <c r="G47" s="208" t="n"/>
      <c r="H47" s="208" t="n"/>
      <c r="I47" s="208" t="n"/>
      <c r="J47" s="208" t="n"/>
    </row>
    <row r="48">
      <c r="A48" s="203" t="n"/>
      <c r="B48" s="203" t="n"/>
      <c r="C48" s="203" t="n"/>
      <c r="D48" s="203" t="n"/>
      <c r="E48" s="203" t="n"/>
      <c r="F48" s="203" t="n"/>
      <c r="G48" s="203" t="n"/>
      <c r="H48" s="203" t="n"/>
      <c r="I48" s="203" t="n"/>
      <c r="J48" s="203" t="n"/>
    </row>
    <row r="49">
      <c r="A49" s="202" t="inlineStr">
        <is>
          <t xml:space="preserve">  VENUE SECURITY DEPARTMENT / CONVENTION CENTER LICENSING</t>
        </is>
      </c>
      <c r="B49" s="203" t="n"/>
      <c r="C49" s="203" t="n"/>
      <c r="D49" s="203" t="n"/>
      <c r="E49" s="203" t="n"/>
      <c r="F49" s="203" t="n"/>
      <c r="G49" s="203" t="n"/>
      <c r="H49" s="203" t="n"/>
      <c r="I49" s="203" t="n"/>
      <c r="J49" s="203" t="n"/>
    </row>
    <row r="50" ht="48" customHeight="1" s="164">
      <c r="A50" s="209" t="inlineStr">
        <is>
          <t>Use for staff incident-reporting (security/ops departments), not capacity-based guest QR. List rates match RFP 2396IP (Javits) financial proposal — Oct 2026. Capacity tiers above remain for fan/guest reporting SKUs.</t>
        </is>
      </c>
      <c r="B50" s="210" t="n"/>
      <c r="C50" s="210" t="n"/>
      <c r="D50" s="210" t="n"/>
      <c r="E50" s="211" t="n"/>
      <c r="F50" s="203" t="n"/>
      <c r="G50" s="203" t="n"/>
      <c r="H50" s="203" t="n"/>
      <c r="I50" s="203" t="n"/>
      <c r="J50" s="203" t="n"/>
    </row>
    <row r="51">
      <c r="A51" s="203" t="n"/>
      <c r="B51" s="203" t="n"/>
      <c r="C51" s="203" t="n"/>
      <c r="D51" s="203" t="n"/>
      <c r="E51" s="203" t="n"/>
      <c r="F51" s="203" t="n"/>
      <c r="G51" s="203" t="n"/>
      <c r="H51" s="203" t="n"/>
      <c r="I51" s="203" t="n"/>
      <c r="J51" s="203" t="n"/>
    </row>
    <row r="52">
      <c r="A52" s="212" t="inlineStr">
        <is>
          <t>A. Software licensing</t>
        </is>
      </c>
      <c r="B52" s="203" t="n"/>
      <c r="C52" s="203" t="n"/>
      <c r="D52" s="203" t="n"/>
      <c r="E52" s="203" t="n"/>
      <c r="F52" s="203" t="n"/>
      <c r="G52" s="203" t="n"/>
      <c r="H52" s="203" t="n"/>
      <c r="I52" s="203" t="n"/>
      <c r="J52" s="203" t="n"/>
    </row>
    <row r="53">
      <c r="A53" s="204" t="inlineStr">
        <is>
          <t>Item</t>
        </is>
      </c>
      <c r="B53" s="204" t="inlineStr">
        <is>
          <t>List rate</t>
        </is>
      </c>
      <c r="C53" s="204" t="inlineStr">
        <is>
          <t>Unit</t>
        </is>
      </c>
      <c r="D53" s="204" t="inlineStr">
        <is>
          <t>Notes</t>
        </is>
      </c>
      <c r="E53" s="203" t="n"/>
      <c r="F53" s="203" t="n"/>
      <c r="G53" s="203" t="n"/>
      <c r="H53" s="203" t="n"/>
      <c r="I53" s="203" t="n"/>
      <c r="J53" s="203" t="n"/>
    </row>
    <row r="54">
      <c r="A54" s="206" t="inlineStr">
        <is>
          <t>Named user (security / ops)</t>
        </is>
      </c>
      <c r="B54" s="207" t="inlineStr">
        <is>
          <t>$2,133</t>
        </is>
      </c>
      <c r="C54" s="206" t="inlineStr">
        <is>
          <t>per user / year</t>
        </is>
      </c>
      <c r="D54" s="206" t="inlineStr">
        <is>
          <t>iOS + Android mobile + web · unlimited incident reports within contracted dept</t>
        </is>
      </c>
      <c r="E54" s="203" t="n"/>
      <c r="F54" s="203" t="n"/>
      <c r="G54" s="203" t="n"/>
      <c r="H54" s="203" t="n"/>
      <c r="I54" s="203" t="n"/>
      <c r="J54" s="203" t="n"/>
    </row>
    <row r="55">
      <c r="A55" s="206" t="inlineStr">
        <is>
          <t>Package example — 18 named users</t>
        </is>
      </c>
      <c r="B55" s="207" t="inlineStr">
        <is>
          <t>$38,400</t>
        </is>
      </c>
      <c r="C55" s="206" t="inlineStr">
        <is>
          <t>per year</t>
        </is>
      </c>
      <c r="D55" s="206" t="inlineStr">
        <is>
          <t>18 × $2,133 · RFP Addendum 1 baseline</t>
        </is>
      </c>
      <c r="E55" s="203" t="n"/>
      <c r="F55" s="203" t="n"/>
      <c r="G55" s="203" t="n"/>
      <c r="H55" s="203" t="n"/>
      <c r="I55" s="203" t="n"/>
      <c r="J55" s="203" t="n"/>
    </row>
    <row r="56">
      <c r="A56" s="206" t="inlineStr">
        <is>
          <t>Site-wide Security Department license</t>
        </is>
      </c>
      <c r="B56" s="207" t="inlineStr">
        <is>
          <t>Same as package</t>
        </is>
      </c>
      <c r="C56" s="206" t="inlineStr">
        <is>
          <t>per year</t>
        </is>
      </c>
      <c r="D56" s="206" t="inlineStr">
        <is>
          <t>Unlimited current/future Security Dept accounts at quoted package price</t>
        </is>
      </c>
      <c r="E56" s="203" t="n"/>
      <c r="F56" s="203" t="n"/>
      <c r="G56" s="203" t="n"/>
      <c r="H56" s="203" t="n"/>
      <c r="I56" s="203" t="n"/>
      <c r="J56" s="203" t="n"/>
    </row>
    <row r="57">
      <c r="A57" s="206" t="inlineStr">
        <is>
          <t>Additional named user</t>
        </is>
      </c>
      <c r="B57" s="207" t="inlineStr">
        <is>
          <t>$2,400</t>
        </is>
      </c>
      <c r="C57" s="206" t="inlineStr">
        <is>
          <t>per user / year</t>
        </is>
      </c>
      <c r="D57" s="206" t="inlineStr">
        <is>
          <t>Optional · Years 4–5 escalate ≤3%</t>
        </is>
      </c>
      <c r="E57" s="203" t="n"/>
      <c r="F57" s="203" t="n"/>
      <c r="G57" s="203" t="n"/>
      <c r="H57" s="203" t="n"/>
      <c r="I57" s="203" t="n"/>
      <c r="J57" s="203" t="n"/>
    </row>
    <row r="58">
      <c r="A58" s="203" t="n"/>
      <c r="B58" s="203" t="n"/>
      <c r="C58" s="203" t="n"/>
      <c r="D58" s="203" t="n"/>
      <c r="E58" s="203" t="n"/>
      <c r="F58" s="203" t="n"/>
      <c r="G58" s="203" t="n"/>
      <c r="H58" s="203" t="n"/>
      <c r="I58" s="203" t="n"/>
      <c r="J58" s="203" t="n"/>
    </row>
    <row r="59">
      <c r="A59" s="212" t="inlineStr">
        <is>
          <t>B. Recurring platform components (quote separately or bundle)</t>
        </is>
      </c>
      <c r="B59" s="203" t="n"/>
      <c r="C59" s="203" t="n"/>
      <c r="D59" s="203" t="n"/>
      <c r="E59" s="203" t="n"/>
      <c r="F59" s="203" t="n"/>
      <c r="G59" s="203" t="n"/>
      <c r="H59" s="203" t="n"/>
      <c r="I59" s="203" t="n"/>
      <c r="J59" s="203" t="n"/>
    </row>
    <row r="60">
      <c r="A60" s="204" t="inlineStr">
        <is>
          <t>Component</t>
        </is>
      </c>
      <c r="B60" s="204" t="inlineStr">
        <is>
          <t>Annual list</t>
        </is>
      </c>
      <c r="C60" s="204" t="inlineStr">
        <is>
          <t>Includes</t>
        </is>
      </c>
      <c r="D60" s="204" t="inlineStr">
        <is>
          <t>Notes</t>
        </is>
      </c>
      <c r="E60" s="203" t="n"/>
      <c r="F60" s="203" t="n"/>
      <c r="G60" s="203" t="n"/>
      <c r="H60" s="203" t="n"/>
      <c r="I60" s="203" t="n"/>
      <c r="J60" s="203" t="n"/>
    </row>
    <row r="61">
      <c r="A61" s="206" t="inlineStr">
        <is>
          <t>Web hosting and iOS / Android application distribution</t>
        </is>
      </c>
      <c r="B61" s="207" t="inlineStr">
        <is>
          <t>$6,000</t>
        </is>
      </c>
      <c r="C61" s="206" t="inlineStr">
        <is>
          <t>AWS SaaS · iOS TestFlight/App Store · Android Google Play · 99% uptime SLA</t>
        </is>
      </c>
      <c r="D61" s="206" t="inlineStr">
        <is>
          <t>Mobile required for field security</t>
        </is>
      </c>
      <c r="E61" s="203" t="n"/>
      <c r="F61" s="203" t="n"/>
      <c r="G61" s="203" t="n"/>
      <c r="H61" s="203" t="n"/>
      <c r="I61" s="203" t="n"/>
      <c r="J61" s="203" t="n"/>
    </row>
    <row r="62">
      <c r="A62" s="206" t="inlineStr">
        <is>
          <t>Storage, backup and 7-year retention</t>
        </is>
      </c>
      <c r="B62" s="207" t="inlineStr">
        <is>
          <t>$3,600</t>
        </is>
      </c>
      <c r="C62" s="206" t="inlineStr">
        <is>
          <t>500 GB included · immutable retention · daily backups</t>
        </is>
      </c>
      <c r="D62" s="206" t="inlineStr">
        <is>
          <t>Convention-center records policy</t>
        </is>
      </c>
      <c r="E62" s="203" t="n"/>
      <c r="F62" s="203" t="n"/>
      <c r="G62" s="203" t="n"/>
      <c r="H62" s="203" t="n"/>
      <c r="I62" s="203" t="n"/>
      <c r="J62" s="203" t="n"/>
    </row>
    <row r="63">
      <c r="A63" s="206" t="inlineStr">
        <is>
          <t>Support, maintenance and updates</t>
        </is>
      </c>
      <c r="B63" s="207" t="inlineStr">
        <is>
          <t>$7,200</t>
        </is>
      </c>
      <c r="C63" s="206" t="inlineStr">
        <is>
          <t>8 AM–8 PM ET Mon–Fri · P1 1-hr · patches</t>
        </is>
      </c>
      <c r="D63" s="206" t="inlineStr">
        <is>
          <t>Between Standard (included) and Priority ($2,500/mo)</t>
        </is>
      </c>
      <c r="E63" s="203" t="n"/>
      <c r="F63" s="203" t="n"/>
      <c r="G63" s="203" t="n"/>
      <c r="H63" s="203" t="n"/>
      <c r="I63" s="203" t="n"/>
      <c r="J63" s="203" t="n"/>
    </row>
    <row r="64">
      <c r="A64" s="206" t="inlineStr">
        <is>
          <t>Integration connectivity (UKG / Momentus / SSO)</t>
        </is>
      </c>
      <c r="B64" s="207" t="inlineStr">
        <is>
          <t>$2,400</t>
        </is>
      </c>
      <c r="C64" s="206" t="inlineStr">
        <is>
          <t>Employee + event APIs + SAML keep-alive</t>
        </is>
      </c>
      <c r="D64" s="206" t="inlineStr">
        <is>
          <t>No pass-through vendor license fees</t>
        </is>
      </c>
      <c r="E64" s="203" t="n"/>
      <c r="F64" s="203" t="n"/>
      <c r="G64" s="203" t="n"/>
      <c r="H64" s="203" t="n"/>
      <c r="I64" s="203" t="n"/>
      <c r="J64" s="203" t="n"/>
    </row>
    <row r="65">
      <c r="A65" s="212" t="inlineStr">
        <is>
          <t>Illustrative annual total (18-user package + components)</t>
        </is>
      </c>
      <c r="B65" s="207" t="inlineStr">
        <is>
          <t>$57,600</t>
        </is>
      </c>
      <c r="C65" s="206" t="inlineStr">
        <is>
          <t>Year 1–3 fixed</t>
        </is>
      </c>
      <c r="D65" s="206" t="inlineStr">
        <is>
          <t>Optional Y4/Y5 ≤3% escalation on recurring</t>
        </is>
      </c>
      <c r="E65" s="203" t="n"/>
      <c r="F65" s="203" t="n"/>
      <c r="G65" s="203" t="n"/>
      <c r="H65" s="203" t="n"/>
      <c r="I65" s="203" t="n"/>
      <c r="J65" s="203" t="n"/>
    </row>
    <row r="66">
      <c r="A66" s="203" t="n"/>
      <c r="B66" s="203" t="n"/>
      <c r="C66" s="203" t="n"/>
      <c r="D66" s="203" t="n"/>
      <c r="E66" s="203" t="n"/>
      <c r="F66" s="203" t="n"/>
      <c r="G66" s="203" t="n"/>
      <c r="H66" s="203" t="n"/>
      <c r="I66" s="203" t="n"/>
      <c r="J66" s="203" t="n"/>
    </row>
    <row r="67">
      <c r="A67" s="212" t="inlineStr">
        <is>
          <t>C. Implementation — one-time (Security Department / convention)</t>
        </is>
      </c>
      <c r="B67" s="203" t="n"/>
      <c r="C67" s="203" t="n"/>
      <c r="D67" s="203" t="n"/>
      <c r="E67" s="203" t="n"/>
      <c r="F67" s="203" t="n"/>
      <c r="G67" s="203" t="n"/>
      <c r="H67" s="203" t="n"/>
      <c r="I67" s="203" t="n"/>
      <c r="J67" s="203" t="n"/>
    </row>
    <row r="68">
      <c r="A68" s="204" t="inlineStr">
        <is>
          <t>Item</t>
        </is>
      </c>
      <c r="B68" s="204" t="inlineStr">
        <is>
          <t>One-time fee</t>
        </is>
      </c>
      <c r="C68" s="204" t="inlineStr">
        <is>
          <t>Notes</t>
        </is>
      </c>
      <c r="D68" s="203" t="n"/>
      <c r="E68" s="203" t="n"/>
      <c r="F68" s="203" t="n"/>
      <c r="G68" s="203" t="n"/>
      <c r="H68" s="203" t="n"/>
      <c r="I68" s="203" t="n"/>
      <c r="J68" s="203" t="n"/>
    </row>
    <row r="69">
      <c r="A69" s="206" t="inlineStr">
        <is>
          <t>Project management and implementation</t>
        </is>
      </c>
      <c r="B69" s="207" t="inlineStr">
        <is>
          <t>$8,500</t>
        </is>
      </c>
      <c r="C69" s="206" t="inlineStr">
        <is>
          <t>Kickoff · environment · PM through go-live</t>
        </is>
      </c>
      <c r="D69" s="203" t="n"/>
      <c r="E69" s="203" t="n"/>
      <c r="F69" s="203" t="n"/>
      <c r="G69" s="203" t="n"/>
      <c r="H69" s="203" t="n"/>
      <c r="I69" s="203" t="n"/>
      <c r="J69" s="203" t="n"/>
    </row>
    <row r="70">
      <c r="A70" s="206" t="inlineStr">
        <is>
          <t>Configuration, forms, reports and dashboards</t>
        </is>
      </c>
      <c r="B70" s="207" t="inlineStr">
        <is>
          <t>$7,500</t>
        </is>
      </c>
      <c r="C70" s="206" t="inlineStr">
        <is>
          <t>Categories · severity · workflows · dashboards</t>
        </is>
      </c>
      <c r="D70" s="203" t="n"/>
      <c r="E70" s="203" t="n"/>
      <c r="F70" s="203" t="n"/>
      <c r="G70" s="203" t="n"/>
      <c r="H70" s="203" t="n"/>
      <c r="I70" s="203" t="n"/>
      <c r="J70" s="203" t="n"/>
    </row>
    <row r="71">
      <c r="A71" s="206" t="inlineStr">
        <is>
          <t>Historical migration (up to ~5,000 records / 7 years)</t>
        </is>
      </c>
      <c r="B71" s="207" t="inlineStr">
        <is>
          <t>$5,000</t>
        </is>
      </c>
      <c r="C71" s="206" t="inlineStr">
        <is>
          <t>e.g. Resolver → NexCort iQ · attachments + audit</t>
        </is>
      </c>
      <c r="D71" s="203" t="n"/>
      <c r="E71" s="203" t="n"/>
      <c r="F71" s="203" t="n"/>
      <c r="G71" s="203" t="n"/>
      <c r="H71" s="203" t="n"/>
      <c r="I71" s="203" t="n"/>
      <c r="J71" s="203" t="n"/>
    </row>
    <row r="72">
      <c r="A72" s="206" t="inlineStr">
        <is>
          <t>HR / workforce API integration (e.g. UKG)</t>
        </is>
      </c>
      <c r="B72" s="207" t="inlineStr">
        <is>
          <t>$2,500</t>
        </is>
      </c>
      <c r="C72" s="206" t="inlineStr">
        <is>
          <t>REST employee sync / lookup</t>
        </is>
      </c>
      <c r="D72" s="203" t="n"/>
      <c r="E72" s="203" t="n"/>
      <c r="F72" s="203" t="n"/>
      <c r="G72" s="203" t="n"/>
      <c r="H72" s="203" t="n"/>
      <c r="I72" s="203" t="n"/>
      <c r="J72" s="203" t="n"/>
    </row>
    <row r="73">
      <c r="A73" s="206" t="inlineStr">
        <is>
          <t>Event calendar API integration (e.g. Momentus)</t>
        </is>
      </c>
      <c r="B73" s="207" t="inlineStr">
        <is>
          <t>$2,500</t>
        </is>
      </c>
      <c r="C73" s="206" t="inlineStr">
        <is>
          <t>Event population into incident location fields</t>
        </is>
      </c>
      <c r="D73" s="203" t="n"/>
      <c r="E73" s="203" t="n"/>
      <c r="F73" s="203" t="n"/>
      <c r="G73" s="203" t="n"/>
      <c r="H73" s="203" t="n"/>
      <c r="I73" s="203" t="n"/>
      <c r="J73" s="203" t="n"/>
    </row>
    <row r="74">
      <c r="A74" s="206" t="inlineStr">
        <is>
          <t>Single sign-on setup (SAML 2.0)</t>
        </is>
      </c>
      <c r="B74" s="207" t="inlineStr">
        <is>
          <t>$1,500</t>
        </is>
      </c>
      <c r="C74" s="206" t="inlineStr">
        <is>
          <t>IdP config · role provisioning</t>
        </is>
      </c>
      <c r="D74" s="203" t="n"/>
      <c r="E74" s="203" t="n"/>
      <c r="F74" s="203" t="n"/>
      <c r="G74" s="203" t="n"/>
      <c r="H74" s="203" t="n"/>
      <c r="I74" s="203" t="n"/>
      <c r="J74" s="203" t="n"/>
    </row>
    <row r="75">
      <c r="A75" s="206" t="inlineStr">
        <is>
          <t>Testing and production go-live</t>
        </is>
      </c>
      <c r="B75" s="207" t="inlineStr">
        <is>
          <t>$2,500</t>
        </is>
      </c>
      <c r="C75" s="206" t="inlineStr">
        <is>
          <t>UAT · regression · production cutover</t>
        </is>
      </c>
      <c r="D75" s="203" t="n"/>
      <c r="E75" s="203" t="n"/>
      <c r="F75" s="203" t="n"/>
      <c r="G75" s="203" t="n"/>
      <c r="H75" s="203" t="n"/>
      <c r="I75" s="203" t="n"/>
      <c r="J75" s="203" t="n"/>
    </row>
    <row r="76">
      <c r="A76" s="206" t="inlineStr">
        <is>
          <t>Training — 4 live virtual sessions (2 end-user + 2 admin)</t>
        </is>
      </c>
      <c r="B76" s="207" t="inlineStr">
        <is>
          <t>$3,000</t>
        </is>
      </c>
      <c r="C76" s="206" t="inlineStr">
        <is>
          <t>Recordings included</t>
        </is>
      </c>
      <c r="D76" s="203" t="n"/>
      <c r="E76" s="203" t="n"/>
      <c r="F76" s="203" t="n"/>
      <c r="G76" s="203" t="n"/>
      <c r="H76" s="203" t="n"/>
      <c r="I76" s="203" t="n"/>
      <c r="J76" s="203" t="n"/>
    </row>
    <row r="77">
      <c r="A77" s="212" t="inlineStr">
        <is>
          <t>Illustrative implementation total</t>
        </is>
      </c>
      <c r="B77" s="207" t="inlineStr">
        <is>
          <t>$33,000</t>
        </is>
      </c>
      <c r="C77" s="206" t="inlineStr">
        <is>
          <t>Sum of components above · fixed-fee package</t>
        </is>
      </c>
      <c r="D77" s="203" t="n"/>
      <c r="E77" s="203" t="n"/>
      <c r="F77" s="203" t="n"/>
      <c r="G77" s="203" t="n"/>
      <c r="H77" s="203" t="n"/>
      <c r="I77" s="203" t="n"/>
      <c r="J77" s="203" t="n"/>
    </row>
    <row r="78">
      <c r="A78" s="203" t="n"/>
      <c r="B78" s="203" t="n"/>
      <c r="C78" s="203" t="n"/>
      <c r="D78" s="203" t="n"/>
      <c r="E78" s="203" t="n"/>
      <c r="F78" s="203" t="n"/>
      <c r="G78" s="203" t="n"/>
      <c r="H78" s="203" t="n"/>
      <c r="I78" s="203" t="n"/>
      <c r="J78" s="203" t="n"/>
    </row>
    <row r="79">
      <c r="A79" s="212" t="inlineStr">
        <is>
          <t>D. Optional unit rates (excluded from base totals)</t>
        </is>
      </c>
      <c r="B79" s="203" t="n"/>
      <c r="C79" s="203" t="n"/>
      <c r="D79" s="203" t="n"/>
      <c r="E79" s="203" t="n"/>
      <c r="F79" s="203" t="n"/>
      <c r="G79" s="203" t="n"/>
      <c r="H79" s="203" t="n"/>
      <c r="I79" s="203" t="n"/>
      <c r="J79" s="203" t="n"/>
    </row>
    <row r="80">
      <c r="A80" s="204" t="inlineStr">
        <is>
          <t>Optional item</t>
        </is>
      </c>
      <c r="B80" s="204" t="inlineStr">
        <is>
          <t>Year 1–3 rate</t>
        </is>
      </c>
      <c r="C80" s="204" t="inlineStr">
        <is>
          <t>Unit / scope</t>
        </is>
      </c>
      <c r="D80" s="203" t="n"/>
      <c r="E80" s="203" t="n"/>
      <c r="F80" s="203" t="n"/>
      <c r="G80" s="203" t="n"/>
      <c r="H80" s="203" t="n"/>
      <c r="I80" s="203" t="n"/>
      <c r="J80" s="203" t="n"/>
    </row>
    <row r="81">
      <c r="A81" s="206" t="inlineStr">
        <is>
          <t>Additional storage capacity</t>
        </is>
      </c>
      <c r="B81" s="207" t="inlineStr">
        <is>
          <t>$300</t>
        </is>
      </c>
      <c r="C81" s="206" t="inlineStr">
        <is>
          <t>per 100 GB / year (min 100 GB)</t>
        </is>
      </c>
      <c r="D81" s="203" t="n"/>
      <c r="E81" s="203" t="n"/>
      <c r="F81" s="203" t="n"/>
      <c r="G81" s="203" t="n"/>
      <c r="H81" s="203" t="n"/>
      <c r="I81" s="203" t="n"/>
      <c r="J81" s="203" t="n"/>
    </row>
    <row r="82">
      <c r="A82" s="206" t="inlineStr">
        <is>
          <t>Additional end-user training session</t>
        </is>
      </c>
      <c r="B82" s="207" t="inlineStr">
        <is>
          <t>$1,500</t>
        </is>
      </c>
      <c r="C82" s="206" t="inlineStr">
        <is>
          <t>up to 20 participants · 2 hrs · virtual</t>
        </is>
      </c>
      <c r="D82" s="203" t="n"/>
      <c r="E82" s="203" t="n"/>
      <c r="F82" s="203" t="n"/>
      <c r="G82" s="203" t="n"/>
      <c r="H82" s="203" t="n"/>
      <c r="I82" s="203" t="n"/>
      <c r="J82" s="203" t="n"/>
    </row>
    <row r="83">
      <c r="A83" s="206" t="inlineStr">
        <is>
          <t>Additional administrator training session</t>
        </is>
      </c>
      <c r="B83" s="207" t="inlineStr">
        <is>
          <t>$2,000</t>
        </is>
      </c>
      <c r="C83" s="206" t="inlineStr">
        <is>
          <t>up to 5 admins · 3 hrs · virtual</t>
        </is>
      </c>
      <c r="D83" s="203" t="n"/>
      <c r="E83" s="203" t="n"/>
      <c r="F83" s="203" t="n"/>
      <c r="G83" s="203" t="n"/>
      <c r="H83" s="203" t="n"/>
      <c r="I83" s="203" t="n"/>
      <c r="J83" s="203" t="n"/>
    </row>
    <row r="84">
      <c r="A84" s="206" t="inlineStr">
        <is>
          <t>Additional customization / configuration</t>
        </is>
      </c>
      <c r="B84" s="207" t="inlineStr">
        <is>
          <t>$175</t>
        </is>
      </c>
      <c r="C84" s="206" t="inlineStr">
        <is>
          <t>per hour</t>
        </is>
      </c>
      <c r="D84" s="203" t="n"/>
      <c r="E84" s="203" t="n"/>
      <c r="F84" s="203" t="n"/>
      <c r="G84" s="203" t="n"/>
      <c r="H84" s="203" t="n"/>
      <c r="I84" s="203" t="n"/>
      <c r="J84" s="203" t="n"/>
    </row>
    <row r="85">
      <c r="A85" s="206" t="inlineStr">
        <is>
          <t>Additional migration beyond quoted scope</t>
        </is>
      </c>
      <c r="B85" s="207" t="inlineStr">
        <is>
          <t>$150</t>
        </is>
      </c>
      <c r="C85" s="206" t="inlineStr">
        <is>
          <t>per hour</t>
        </is>
      </c>
      <c r="D85" s="203" t="n"/>
      <c r="E85" s="203" t="n"/>
      <c r="F85" s="203" t="n"/>
      <c r="G85" s="203" t="n"/>
      <c r="H85" s="203" t="n"/>
      <c r="I85" s="203" t="n"/>
      <c r="J85" s="203" t="n"/>
    </row>
    <row r="86">
      <c r="A86" s="206" t="inlineStr">
        <is>
          <t>Weekend / extended support beyond quoted scope</t>
        </is>
      </c>
      <c r="B86" s="207" t="inlineStr">
        <is>
          <t>$500</t>
        </is>
      </c>
      <c r="C86" s="206" t="inlineStr">
        <is>
          <t>per month · 24/7 on-call / event weekends</t>
        </is>
      </c>
      <c r="D86" s="203" t="n"/>
      <c r="E86" s="203" t="n"/>
      <c r="F86" s="203" t="n"/>
      <c r="G86" s="203" t="n"/>
      <c r="H86" s="203" t="n"/>
      <c r="I86" s="203" t="n"/>
      <c r="J86" s="203" t="n"/>
    </row>
    <row r="87">
      <c r="A87" s="206" t="inlineStr">
        <is>
          <t>Contract-end data export</t>
        </is>
      </c>
      <c r="B87" s="207" t="inlineStr">
        <is>
          <t>Included</t>
        </is>
      </c>
      <c r="C87" s="206" t="inlineStr">
        <is>
          <t>JSON + CSV within 15 business days</t>
        </is>
      </c>
      <c r="D87" s="203" t="n"/>
      <c r="E87" s="203" t="n"/>
      <c r="F87" s="203" t="n"/>
      <c r="G87" s="203" t="n"/>
      <c r="H87" s="203" t="n"/>
      <c r="I87" s="203" t="n"/>
      <c r="J87" s="203" t="n"/>
    </row>
    <row r="88">
      <c r="A88" s="203" t="n"/>
      <c r="B88" s="203" t="n"/>
      <c r="C88" s="203" t="n"/>
      <c r="D88" s="203" t="n"/>
      <c r="E88" s="203" t="n"/>
      <c r="F88" s="203" t="n"/>
      <c r="G88" s="203" t="n"/>
      <c r="H88" s="203" t="n"/>
      <c r="I88" s="203" t="n"/>
      <c r="J88" s="203" t="n"/>
    </row>
    <row r="89" ht="55" customHeight="1" s="164">
      <c r="A89" s="206" t="inlineStr">
        <is>
          <t>SALES POSITIONING: Quote capacity tiers for guest/fan QR-NFC products. Quote Security Department licensing for convention centers / venues buying staff incident reporting (named-seat or site-wide). Do not mix models on one line without Sales Director approval. Reference: RFP 2396IP financial proposal (Apps on Demand LLC / NexCort iQ) — Oct 2026.</t>
        </is>
      </c>
      <c r="B89" s="210" t="n"/>
      <c r="C89" s="210" t="n"/>
      <c r="D89" s="210" t="n"/>
      <c r="E89" s="211" t="n"/>
      <c r="F89" s="203" t="n"/>
      <c r="G89" s="203" t="n"/>
      <c r="H89" s="203" t="n"/>
      <c r="I89" s="203" t="n"/>
      <c r="J89" s="203" t="n"/>
    </row>
    <row r="90">
      <c r="A90" s="213" t="inlineStr">
        <is>
          <t>⚠  INTERNAL USE ONLY — Do not share without Sales Director approval.</t>
        </is>
      </c>
      <c r="B90" s="203" t="n"/>
      <c r="C90" s="203" t="n"/>
      <c r="D90" s="203" t="n"/>
      <c r="E90" s="203" t="n"/>
      <c r="F90" s="203" t="n"/>
      <c r="G90" s="203" t="n"/>
      <c r="H90" s="203" t="n"/>
      <c r="I90" s="203" t="n"/>
      <c r="J90" s="203" t="n"/>
    </row>
    <row r="91">
      <c r="A91" s="203" t="n"/>
      <c r="B91" s="203" t="n"/>
      <c r="C91" s="203" t="n"/>
      <c r="D91" s="203" t="n"/>
      <c r="E91" s="203" t="n"/>
      <c r="F91" s="203" t="n"/>
      <c r="G91" s="203" t="n"/>
      <c r="H91" s="203" t="n"/>
      <c r="I91" s="203" t="n"/>
      <c r="J91" s="203" t="n"/>
    </row>
    <row r="92">
      <c r="A92" s="203" t="n"/>
      <c r="B92" s="203" t="n"/>
      <c r="C92" s="203" t="n"/>
      <c r="D92" s="203" t="n"/>
      <c r="E92" s="203" t="n"/>
      <c r="F92" s="203" t="n"/>
      <c r="G92" s="203" t="n"/>
      <c r="H92" s="203" t="n"/>
      <c r="I92" s="203" t="n"/>
      <c r="J92" s="203" t="n"/>
    </row>
    <row r="93">
      <c r="A93" s="203" t="n"/>
      <c r="B93" s="203" t="n"/>
      <c r="C93" s="203" t="n"/>
      <c r="D93" s="203" t="n"/>
      <c r="E93" s="203" t="n"/>
      <c r="F93" s="203" t="n"/>
      <c r="G93" s="203" t="n"/>
      <c r="H93" s="203" t="n"/>
      <c r="I93" s="203" t="n"/>
      <c r="J93" s="203" t="n"/>
    </row>
    <row r="94">
      <c r="A94" s="203" t="n"/>
      <c r="B94" s="203" t="n"/>
      <c r="C94" s="203" t="n"/>
      <c r="D94" s="203" t="n"/>
      <c r="E94" s="203" t="n"/>
      <c r="F94" s="203" t="n"/>
      <c r="G94" s="203" t="n"/>
      <c r="H94" s="203" t="n"/>
      <c r="I94" s="203" t="n"/>
      <c r="J94" s="203" t="n"/>
    </row>
    <row r="95">
      <c r="A95" s="203" t="n"/>
      <c r="B95" s="203" t="n"/>
      <c r="C95" s="203" t="n"/>
      <c r="D95" s="203" t="n"/>
      <c r="E95" s="203" t="n"/>
      <c r="F95" s="203" t="n"/>
      <c r="G95" s="203" t="n"/>
      <c r="H95" s="203" t="n"/>
      <c r="I95" s="203" t="n"/>
      <c r="J95" s="203" t="n"/>
    </row>
    <row r="96">
      <c r="A96" s="203" t="n"/>
      <c r="B96" s="203" t="n"/>
      <c r="C96" s="203" t="n"/>
      <c r="D96" s="203" t="n"/>
      <c r="E96" s="203" t="n"/>
      <c r="F96" s="203" t="n"/>
      <c r="G96" s="203" t="n"/>
      <c r="H96" s="203" t="n"/>
      <c r="I96" s="203" t="n"/>
      <c r="J96" s="203" t="n"/>
    </row>
    <row r="97">
      <c r="A97" s="203" t="n"/>
      <c r="B97" s="203" t="n"/>
      <c r="C97" s="203" t="n"/>
      <c r="D97" s="203" t="n"/>
      <c r="E97" s="203" t="n"/>
      <c r="F97" s="203" t="n"/>
      <c r="G97" s="203" t="n"/>
      <c r="H97" s="203" t="n"/>
      <c r="I97" s="203" t="n"/>
      <c r="J97" s="203" t="n"/>
    </row>
    <row r="98">
      <c r="A98" s="203" t="n"/>
      <c r="B98" s="203" t="n"/>
      <c r="C98" s="203" t="n"/>
      <c r="D98" s="203" t="n"/>
      <c r="E98" s="203" t="n"/>
      <c r="F98" s="203" t="n"/>
      <c r="G98" s="203" t="n"/>
      <c r="H98" s="203" t="n"/>
      <c r="I98" s="203" t="n"/>
      <c r="J98" s="203" t="n"/>
    </row>
    <row r="99">
      <c r="A99" s="203" t="n"/>
      <c r="B99" s="203" t="n"/>
      <c r="C99" s="203" t="n"/>
      <c r="D99" s="203" t="n"/>
      <c r="E99" s="203" t="n"/>
      <c r="F99" s="203" t="n"/>
      <c r="G99" s="203" t="n"/>
      <c r="H99" s="203" t="n"/>
      <c r="I99" s="203" t="n"/>
      <c r="J99" s="203" t="n"/>
    </row>
    <row r="100">
      <c r="A100" s="203" t="n"/>
      <c r="B100" s="203" t="n"/>
      <c r="C100" s="203" t="n"/>
      <c r="D100" s="203" t="n"/>
      <c r="E100" s="203" t="n"/>
      <c r="F100" s="203" t="n"/>
      <c r="G100" s="203" t="n"/>
      <c r="H100" s="203" t="n"/>
      <c r="I100" s="203" t="n"/>
      <c r="J100" s="203" t="n"/>
    </row>
    <row r="101">
      <c r="A101" s="203" t="n"/>
      <c r="B101" s="203" t="n"/>
      <c r="C101" s="203" t="n"/>
      <c r="D101" s="203" t="n"/>
      <c r="E101" s="203" t="n"/>
      <c r="F101" s="203" t="n"/>
      <c r="G101" s="203" t="n"/>
      <c r="H101" s="203" t="n"/>
      <c r="I101" s="203" t="n"/>
      <c r="J101" s="203" t="n"/>
    </row>
    <row r="102">
      <c r="A102" s="203" t="n"/>
      <c r="B102" s="203" t="n"/>
      <c r="C102" s="203" t="n"/>
      <c r="D102" s="203" t="n"/>
      <c r="E102" s="203" t="n"/>
      <c r="F102" s="203" t="n"/>
      <c r="G102" s="203" t="n"/>
      <c r="H102" s="203" t="n"/>
      <c r="I102" s="203" t="n"/>
      <c r="J102" s="203" t="n"/>
    </row>
    <row r="103">
      <c r="A103" s="203" t="n"/>
      <c r="B103" s="203" t="n"/>
      <c r="C103" s="203" t="n"/>
      <c r="D103" s="203" t="n"/>
      <c r="E103" s="203" t="n"/>
      <c r="F103" s="203" t="n"/>
      <c r="G103" s="203" t="n"/>
      <c r="H103" s="203" t="n"/>
      <c r="I103" s="203" t="n"/>
      <c r="J103" s="203" t="n"/>
    </row>
    <row r="104">
      <c r="A104" s="203" t="n"/>
      <c r="B104" s="203" t="n"/>
      <c r="C104" s="203" t="n"/>
      <c r="D104" s="203" t="n"/>
      <c r="E104" s="203" t="n"/>
      <c r="F104" s="203" t="n"/>
      <c r="G104" s="203" t="n"/>
      <c r="H104" s="203" t="n"/>
      <c r="I104" s="203" t="n"/>
      <c r="J104" s="203" t="n"/>
    </row>
    <row r="105">
      <c r="A105" s="203" t="n"/>
      <c r="B105" s="203" t="n"/>
      <c r="C105" s="203" t="n"/>
      <c r="D105" s="203" t="n"/>
      <c r="E105" s="203" t="n"/>
      <c r="F105" s="203" t="n"/>
      <c r="G105" s="203" t="n"/>
      <c r="H105" s="203" t="n"/>
      <c r="I105" s="203" t="n"/>
      <c r="J105" s="203" t="n"/>
    </row>
    <row r="106">
      <c r="A106" s="203" t="n"/>
      <c r="B106" s="203" t="n"/>
      <c r="C106" s="203" t="n"/>
      <c r="D106" s="203" t="n"/>
      <c r="E106" s="203" t="n"/>
      <c r="F106" s="203" t="n"/>
      <c r="G106" s="203" t="n"/>
      <c r="H106" s="203" t="n"/>
      <c r="I106" s="203" t="n"/>
      <c r="J106" s="203" t="n"/>
    </row>
    <row r="107">
      <c r="A107" s="203" t="n"/>
      <c r="B107" s="203" t="n"/>
      <c r="C107" s="203" t="n"/>
      <c r="D107" s="203" t="n"/>
      <c r="E107" s="203" t="n"/>
      <c r="F107" s="203" t="n"/>
      <c r="G107" s="203" t="n"/>
      <c r="H107" s="203" t="n"/>
      <c r="I107" s="203" t="n"/>
      <c r="J107" s="203" t="n"/>
    </row>
    <row r="108">
      <c r="A108" s="203" t="n"/>
      <c r="B108" s="203" t="n"/>
      <c r="C108" s="203" t="n"/>
      <c r="D108" s="203" t="n"/>
      <c r="E108" s="203" t="n"/>
      <c r="F108" s="203" t="n"/>
      <c r="G108" s="203" t="n"/>
      <c r="H108" s="203" t="n"/>
      <c r="I108" s="203" t="n"/>
      <c r="J108" s="203" t="n"/>
    </row>
    <row r="109">
      <c r="A109" s="203" t="n"/>
      <c r="B109" s="203" t="n"/>
      <c r="C109" s="203" t="n"/>
      <c r="D109" s="203" t="n"/>
      <c r="E109" s="203" t="n"/>
      <c r="F109" s="203" t="n"/>
      <c r="G109" s="203" t="n"/>
      <c r="H109" s="203" t="n"/>
      <c r="I109" s="203" t="n"/>
      <c r="J109" s="203" t="n"/>
    </row>
    <row r="110">
      <c r="A110" s="203" t="n"/>
      <c r="B110" s="203" t="n"/>
      <c r="C110" s="203" t="n"/>
      <c r="D110" s="203" t="n"/>
      <c r="E110" s="203" t="n"/>
      <c r="F110" s="203" t="n"/>
      <c r="G110" s="203" t="n"/>
      <c r="H110" s="203" t="n"/>
      <c r="I110" s="203" t="n"/>
      <c r="J110" s="203" t="n"/>
    </row>
    <row r="111">
      <c r="A111" s="203" t="n"/>
      <c r="B111" s="203" t="n"/>
      <c r="C111" s="203" t="n"/>
      <c r="D111" s="203" t="n"/>
      <c r="E111" s="203" t="n"/>
      <c r="F111" s="203" t="n"/>
      <c r="G111" s="203" t="n"/>
      <c r="H111" s="203" t="n"/>
      <c r="I111" s="203" t="n"/>
      <c r="J111" s="203" t="n"/>
    </row>
    <row r="112">
      <c r="A112" s="203" t="n"/>
      <c r="B112" s="203" t="n"/>
      <c r="C112" s="203" t="n"/>
      <c r="D112" s="203" t="n"/>
      <c r="E112" s="203" t="n"/>
      <c r="F112" s="203" t="n"/>
      <c r="G112" s="203" t="n"/>
      <c r="H112" s="203" t="n"/>
      <c r="I112" s="203" t="n"/>
      <c r="J112" s="203" t="n"/>
    </row>
    <row r="113">
      <c r="A113" s="203" t="n"/>
      <c r="B113" s="203" t="n"/>
      <c r="C113" s="203" t="n"/>
      <c r="D113" s="203" t="n"/>
      <c r="E113" s="203" t="n"/>
      <c r="F113" s="203" t="n"/>
      <c r="G113" s="203" t="n"/>
      <c r="H113" s="203" t="n"/>
      <c r="I113" s="203" t="n"/>
      <c r="J113" s="203" t="n"/>
    </row>
    <row r="114">
      <c r="A114" s="203" t="n"/>
      <c r="B114" s="203" t="n"/>
      <c r="C114" s="203" t="n"/>
      <c r="D114" s="203" t="n"/>
      <c r="E114" s="203" t="n"/>
      <c r="F114" s="203" t="n"/>
      <c r="G114" s="203" t="n"/>
      <c r="H114" s="203" t="n"/>
      <c r="I114" s="203" t="n"/>
      <c r="J114" s="203" t="n"/>
    </row>
    <row r="115">
      <c r="A115" s="203" t="n"/>
      <c r="B115" s="203" t="n"/>
      <c r="C115" s="203" t="n"/>
      <c r="D115" s="203" t="n"/>
      <c r="E115" s="203" t="n"/>
      <c r="F115" s="203" t="n"/>
      <c r="G115" s="203" t="n"/>
      <c r="H115" s="203" t="n"/>
      <c r="I115" s="203" t="n"/>
      <c r="J115" s="203" t="n"/>
    </row>
    <row r="116">
      <c r="A116" s="203" t="n"/>
      <c r="B116" s="203" t="n"/>
      <c r="C116" s="203" t="n"/>
      <c r="D116" s="203" t="n"/>
      <c r="E116" s="203" t="n"/>
      <c r="F116" s="203" t="n"/>
      <c r="G116" s="203" t="n"/>
      <c r="H116" s="203" t="n"/>
      <c r="I116" s="203" t="n"/>
      <c r="J116" s="203" t="n"/>
    </row>
    <row r="117">
      <c r="A117" s="203" t="n"/>
      <c r="B117" s="203" t="n"/>
      <c r="C117" s="203" t="n"/>
      <c r="D117" s="203" t="n"/>
      <c r="E117" s="203" t="n"/>
      <c r="F117" s="203" t="n"/>
      <c r="G117" s="203" t="n"/>
      <c r="H117" s="203" t="n"/>
      <c r="I117" s="203" t="n"/>
      <c r="J117" s="203" t="n"/>
    </row>
    <row r="118">
      <c r="A118" s="203" t="n"/>
      <c r="B118" s="203" t="n"/>
      <c r="C118" s="203" t="n"/>
      <c r="D118" s="203" t="n"/>
      <c r="E118" s="203" t="n"/>
      <c r="F118" s="203" t="n"/>
      <c r="G118" s="203" t="n"/>
      <c r="H118" s="203" t="n"/>
      <c r="I118" s="203" t="n"/>
      <c r="J118" s="203" t="n"/>
    </row>
    <row r="119">
      <c r="A119" s="203" t="n"/>
      <c r="B119" s="203" t="n"/>
      <c r="C119" s="203" t="n"/>
      <c r="D119" s="203" t="n"/>
      <c r="E119" s="203" t="n"/>
      <c r="F119" s="203" t="n"/>
      <c r="G119" s="203" t="n"/>
      <c r="H119" s="203" t="n"/>
      <c r="I119" s="203" t="n"/>
      <c r="J119" s="203" t="n"/>
    </row>
    <row r="120">
      <c r="A120" s="203" t="n"/>
      <c r="B120" s="203" t="n"/>
      <c r="C120" s="203" t="n"/>
      <c r="D120" s="203" t="n"/>
      <c r="E120" s="203" t="n"/>
      <c r="F120" s="203" t="n"/>
      <c r="G120" s="203" t="n"/>
      <c r="H120" s="203" t="n"/>
      <c r="I120" s="203" t="n"/>
      <c r="J120" s="203" t="n"/>
    </row>
  </sheetData>
  <mergeCells count="8">
    <mergeCell ref="A1:J1"/>
    <mergeCell ref="A50:E50"/>
    <mergeCell ref="A5:J5"/>
    <mergeCell ref="A89:E89"/>
    <mergeCell ref="A3:J3"/>
    <mergeCell ref="A20:J20"/>
    <mergeCell ref="A2:J2"/>
    <mergeCell ref="A13:J13"/>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J43"/>
  <sheetViews>
    <sheetView zoomScaleNormal="100" workbookViewId="0">
      <selection activeCell="G16" sqref="G16"/>
    </sheetView>
  </sheetViews>
  <sheetFormatPr baseColWidth="10" defaultColWidth="8.6640625" defaultRowHeight="15"/>
  <cols>
    <col width="28" customWidth="1" style="164" min="1" max="1"/>
    <col width="18" customWidth="1" style="164" min="2" max="3"/>
    <col width="22" customWidth="1" style="164" min="4" max="10"/>
  </cols>
  <sheetData>
    <row r="1">
      <c r="A1" s="116" t="inlineStr">
        <is>
          <t>NEXCORT IQ — INTERNAL PRICING GUIDE</t>
        </is>
      </c>
    </row>
    <row r="2" ht="18" customHeight="1" s="164">
      <c r="A2" s="121" t="inlineStr">
        <is>
          <t>NEXCORT IQ HOSPITAL</t>
        </is>
      </c>
    </row>
    <row r="3">
      <c r="A3" s="119" t="inlineStr">
        <is>
          <t>Hospitals · Health systems · EMS coordination · Pre-alert intake · MCI support · Patient tracking</t>
        </is>
      </c>
    </row>
    <row r="5">
      <c r="A5" s="117" t="inlineStr">
        <is>
          <t xml:space="preserve">  BASE SUBSCRIPTION — FACILITY-BASED ANNUAL PRICING</t>
        </is>
      </c>
    </row>
    <row r="6">
      <c r="A6" s="32" t="inlineStr">
        <is>
          <t>Facility Tier</t>
        </is>
      </c>
      <c r="B6" s="32" t="inlineStr">
        <is>
          <t>Licensed Beds</t>
        </is>
      </c>
      <c r="C6" s="32" t="inlineStr">
        <is>
          <t>Annual Fee</t>
        </is>
      </c>
      <c r="D6" s="32" t="inlineStr">
        <is>
          <t>Monthly Equivalent</t>
        </is>
      </c>
      <c r="E6" s="32" t="inlineStr">
        <is>
          <t>Typical Facilities</t>
        </is>
      </c>
      <c r="F6" s="32" t="n"/>
      <c r="G6" s="32" t="n"/>
      <c r="H6" s="32" t="n"/>
      <c r="I6" s="32" t="n"/>
      <c r="J6" s="32" t="n"/>
    </row>
    <row r="7" ht="39" customHeight="1" s="164">
      <c r="A7" s="36" t="inlineStr">
        <is>
          <t>Tier 1 — Small Facility</t>
        </is>
      </c>
      <c r="B7" s="36" t="inlineStr">
        <is>
          <t>Under 100 beds</t>
        </is>
      </c>
      <c r="C7" s="34" t="inlineStr">
        <is>
          <t>$18,000</t>
        </is>
      </c>
      <c r="D7" s="34" t="inlineStr">
        <is>
          <t>$1,500</t>
        </is>
      </c>
      <c r="E7" s="35" t="inlineStr">
        <is>
          <t>Critical access hospitals · community hospitals · urgent care</t>
        </is>
      </c>
      <c r="F7" s="36" t="n"/>
      <c r="G7" s="36" t="n"/>
      <c r="H7" s="36" t="n"/>
      <c r="I7" s="36" t="n"/>
      <c r="J7" s="36" t="n"/>
    </row>
    <row r="8" ht="26" customHeight="1" s="164">
      <c r="A8" s="40" t="inlineStr">
        <is>
          <t>Tier 2 — Mid Facility</t>
        </is>
      </c>
      <c r="B8" s="40" t="inlineStr">
        <is>
          <t>100–300 beds</t>
        </is>
      </c>
      <c r="C8" s="38" t="inlineStr">
        <is>
          <t>$30,000</t>
        </is>
      </c>
      <c r="D8" s="38" t="inlineStr">
        <is>
          <t>$2,500</t>
        </is>
      </c>
      <c r="E8" s="39" t="inlineStr">
        <is>
          <t>Regional hospitals · mid-size health centers</t>
        </is>
      </c>
      <c r="F8" s="40" t="n"/>
      <c r="G8" s="40" t="n"/>
      <c r="H8" s="40" t="n"/>
      <c r="I8" s="40" t="n"/>
      <c r="J8" s="40" t="n"/>
    </row>
    <row r="9" ht="26" customHeight="1" s="164">
      <c r="A9" s="36" t="inlineStr">
        <is>
          <t>Tier 3 — Large Facility</t>
        </is>
      </c>
      <c r="B9" s="36" t="inlineStr">
        <is>
          <t>300–600 beds</t>
        </is>
      </c>
      <c r="C9" s="34" t="inlineStr">
        <is>
          <t>$48,000</t>
        </is>
      </c>
      <c r="D9" s="34" t="inlineStr">
        <is>
          <t>$4,000</t>
        </is>
      </c>
      <c r="E9" s="35" t="inlineStr">
        <is>
          <t>Large regional medical centers</t>
        </is>
      </c>
      <c r="F9" s="36" t="n"/>
      <c r="G9" s="36" t="n"/>
      <c r="H9" s="36" t="n"/>
      <c r="I9" s="36" t="n"/>
      <c r="J9" s="36" t="n"/>
    </row>
    <row r="10" ht="39" customHeight="1" s="164">
      <c r="A10" s="40" t="inlineStr">
        <is>
          <t>Tier 4 — Health System</t>
        </is>
      </c>
      <c r="B10" s="40" t="inlineStr">
        <is>
          <t>600+ beds / multi</t>
        </is>
      </c>
      <c r="C10" s="38" t="inlineStr">
        <is>
          <t>$75,000+</t>
        </is>
      </c>
      <c r="D10" s="38" t="inlineStr">
        <is>
          <t>Custom</t>
        </is>
      </c>
      <c r="E10" s="39" t="inlineStr">
        <is>
          <t>Level I trauma · health systems · academic medical centers</t>
        </is>
      </c>
      <c r="F10" s="40" t="n"/>
      <c r="G10" s="40" t="n"/>
      <c r="H10" s="40" t="n"/>
      <c r="I10" s="40" t="n"/>
      <c r="J10" s="40" t="n"/>
    </row>
    <row r="12">
      <c r="A12" s="117" t="inlineStr">
        <is>
          <t xml:space="preserve">  IMPLEMENTATION — ONE-TIME</t>
        </is>
      </c>
    </row>
    <row r="13">
      <c r="A13" s="32" t="inlineStr">
        <is>
          <t>Tier</t>
        </is>
      </c>
      <c r="B13" s="32" t="inlineStr">
        <is>
          <t>Implementation Fee</t>
        </is>
      </c>
      <c r="C13" s="32" t="inlineStr">
        <is>
          <t>Includes</t>
        </is>
      </c>
      <c r="D13" s="32" t="n"/>
      <c r="E13" s="32" t="n"/>
      <c r="F13" s="32" t="n"/>
      <c r="G13" s="32" t="n"/>
      <c r="H13" s="32" t="n"/>
      <c r="I13" s="32" t="n"/>
      <c r="J13" s="32" t="n"/>
    </row>
    <row r="14" ht="52" customHeight="1" s="164">
      <c r="A14" s="36" t="inlineStr">
        <is>
          <t>Tier 1 — Small</t>
        </is>
      </c>
      <c r="B14" s="34" t="inlineStr">
        <is>
          <t>$10,000</t>
        </is>
      </c>
      <c r="C14" s="35" t="inlineStr">
        <is>
          <t>Console setup · staff training · EMS coordination workflow · pre-alert config</t>
        </is>
      </c>
      <c r="D14" s="36" t="n"/>
      <c r="E14" s="36" t="n"/>
      <c r="F14" s="36" t="n"/>
      <c r="G14" s="36" t="n"/>
      <c r="H14" s="36" t="n"/>
      <c r="I14" s="36" t="n"/>
      <c r="J14" s="36" t="n"/>
    </row>
    <row r="15" ht="39" customHeight="1" s="164">
      <c r="A15" s="40" t="inlineStr">
        <is>
          <t>Tier 2 — Mid</t>
        </is>
      </c>
      <c r="B15" s="38" t="inlineStr">
        <is>
          <t>$18,000</t>
        </is>
      </c>
      <c r="C15" s="39" t="inlineStr">
        <is>
          <t>All above + capacity board config · MCI protocol setup</t>
        </is>
      </c>
      <c r="D15" s="40" t="n"/>
      <c r="E15" s="40" t="n"/>
      <c r="F15" s="40" t="n"/>
      <c r="G15" s="40" t="n"/>
      <c r="H15" s="40" t="n"/>
      <c r="I15" s="40" t="n"/>
      <c r="J15" s="40" t="n"/>
    </row>
    <row r="16" ht="39" customHeight="1" s="164">
      <c r="A16" s="36" t="inlineStr">
        <is>
          <t>Tier 3 — Large</t>
        </is>
      </c>
      <c r="B16" s="34" t="inlineStr">
        <is>
          <t>$28,000</t>
        </is>
      </c>
      <c r="C16" s="35" t="inlineStr">
        <is>
          <t>All above + multi-unit configuration · command integration</t>
        </is>
      </c>
      <c r="D16" s="36" t="n"/>
      <c r="E16" s="36" t="n"/>
      <c r="F16" s="36" t="n"/>
      <c r="G16" s="36" t="n"/>
      <c r="H16" s="36" t="n"/>
      <c r="I16" s="36" t="n"/>
      <c r="J16" s="36" t="n"/>
    </row>
    <row r="17" ht="52" customHeight="1" s="164">
      <c r="A17" s="40" t="inlineStr">
        <is>
          <t>Tier 4 — System</t>
        </is>
      </c>
      <c r="B17" s="38" t="inlineStr">
        <is>
          <t>$45,000</t>
        </is>
      </c>
      <c r="C17" s="39" t="inlineStr">
        <is>
          <t>Full health system config · multi-facility · dedicated rollout support</t>
        </is>
      </c>
      <c r="D17" s="40" t="n"/>
      <c r="E17" s="40" t="n"/>
      <c r="F17" s="40" t="n"/>
      <c r="G17" s="40" t="n"/>
      <c r="H17" s="40" t="n"/>
      <c r="I17" s="40" t="n"/>
      <c r="J17" s="40" t="n"/>
    </row>
    <row r="19">
      <c r="A19" s="117" t="inlineStr">
        <is>
          <t xml:space="preserve">  INCLUDED IN BASE — ALL HOSPITAL PLANS</t>
        </is>
      </c>
    </row>
    <row r="20">
      <c r="A20" s="32" t="inlineStr">
        <is>
          <t>Capability</t>
        </is>
      </c>
      <c r="B20" s="32" t="inlineStr">
        <is>
          <t>Included?</t>
        </is>
      </c>
      <c r="C20" s="32" t="inlineStr">
        <is>
          <t>Notes</t>
        </is>
      </c>
      <c r="D20" s="32" t="n"/>
      <c r="E20" s="32" t="n"/>
      <c r="F20" s="32" t="n"/>
      <c r="G20" s="32" t="n"/>
      <c r="H20" s="32" t="n"/>
      <c r="I20" s="32" t="n"/>
      <c r="J20" s="32" t="n"/>
    </row>
    <row r="21" ht="39" customHeight="1" s="164">
      <c r="A21" s="36" t="inlineStr">
        <is>
          <t>Hospital Staff Console</t>
        </is>
      </c>
      <c r="B21" s="41" t="inlineStr">
        <is>
          <t>Yes</t>
        </is>
      </c>
      <c r="C21" s="35" t="inlineStr">
        <is>
          <t>hospital_staff role — Signal color system (red vertical)</t>
        </is>
      </c>
      <c r="D21" s="36" t="n"/>
      <c r="E21" s="36" t="n"/>
      <c r="F21" s="36" t="n"/>
      <c r="G21" s="36" t="n"/>
      <c r="H21" s="36" t="n"/>
      <c r="I21" s="36" t="n"/>
      <c r="J21" s="36" t="n"/>
    </row>
    <row r="22" ht="39" customHeight="1" s="164">
      <c r="A22" s="40" t="inlineStr">
        <is>
          <t>Hospital Supervisor Dashboard</t>
        </is>
      </c>
      <c r="B22" s="42" t="inlineStr">
        <is>
          <t>Yes</t>
        </is>
      </c>
      <c r="C22" s="39" t="inlineStr">
        <is>
          <t>Capacity board · pre-alert queue · MCI coordination</t>
        </is>
      </c>
      <c r="D22" s="40" t="n"/>
      <c r="E22" s="40" t="n"/>
      <c r="F22" s="40" t="n"/>
      <c r="G22" s="40" t="n"/>
      <c r="H22" s="40" t="n"/>
      <c r="I22" s="40" t="n"/>
      <c r="J22" s="40" t="n"/>
    </row>
    <row r="23" ht="39" customHeight="1" s="164">
      <c r="A23" s="36" t="inlineStr">
        <is>
          <t>Hospital Admin Console</t>
        </is>
      </c>
      <c r="B23" s="41" t="inlineStr">
        <is>
          <t>Yes</t>
        </is>
      </c>
      <c r="C23" s="35" t="inlineStr">
        <is>
          <t>Staff management · capacity config · MCI planning</t>
        </is>
      </c>
      <c r="D23" s="36" t="n"/>
      <c r="E23" s="36" t="n"/>
      <c r="F23" s="36" t="n"/>
      <c r="G23" s="36" t="n"/>
      <c r="H23" s="36" t="n"/>
      <c r="I23" s="36" t="n"/>
      <c r="J23" s="36" t="n"/>
    </row>
    <row r="24" ht="39" customHeight="1" s="164">
      <c r="A24" s="40" t="inlineStr">
        <is>
          <t>Hospital Coordinator View</t>
        </is>
      </c>
      <c r="B24" s="42" t="inlineStr">
        <is>
          <t>Yes</t>
        </is>
      </c>
      <c r="C24" s="39" t="inlineStr">
        <is>
          <t>EMS liaison · outbound alerts · hospital capacity routing</t>
        </is>
      </c>
      <c r="D24" s="40" t="n"/>
      <c r="E24" s="40" t="n"/>
      <c r="F24" s="40" t="n"/>
      <c r="G24" s="40" t="n"/>
      <c r="H24" s="40" t="n"/>
      <c r="I24" s="40" t="n"/>
      <c r="J24" s="40" t="n"/>
    </row>
    <row r="25" ht="39" customHeight="1" s="164">
      <c r="A25" s="36" t="inlineStr">
        <is>
          <t>Pre-Alert Intake</t>
        </is>
      </c>
      <c r="B25" s="41" t="inlineStr">
        <is>
          <t>Yes</t>
        </is>
      </c>
      <c r="C25" s="35" t="inlineStr">
        <is>
          <t>Incoming EMS pre-alerts · patient status tracking</t>
        </is>
      </c>
      <c r="D25" s="36" t="n"/>
      <c r="E25" s="36" t="n"/>
      <c r="F25" s="36" t="n"/>
      <c r="G25" s="36" t="n"/>
      <c r="H25" s="36" t="n"/>
      <c r="I25" s="36" t="n"/>
      <c r="J25" s="36" t="n"/>
    </row>
    <row r="26">
      <c r="A26" s="40" t="inlineStr">
        <is>
          <t>Incident Timeline</t>
        </is>
      </c>
      <c r="B26" s="42" t="inlineStr">
        <is>
          <t>Yes</t>
        </is>
      </c>
      <c r="C26" s="39" t="inlineStr">
        <is>
          <t>Auto-built per incident</t>
        </is>
      </c>
      <c r="D26" s="40" t="n"/>
      <c r="E26" s="40" t="n"/>
      <c r="F26" s="40" t="n"/>
      <c r="G26" s="40" t="n"/>
      <c r="H26" s="40" t="n"/>
      <c r="I26" s="40" t="n"/>
      <c r="J26" s="40" t="n"/>
    </row>
    <row r="27" ht="26" customHeight="1" s="164">
      <c r="A27" s="36" t="inlineStr">
        <is>
          <t>Signal Color System</t>
        </is>
      </c>
      <c r="B27" s="41" t="inlineStr">
        <is>
          <t>Yes</t>
        </is>
      </c>
      <c r="C27" s="35" t="inlineStr">
        <is>
          <t>Red vertical band — hospital identity</t>
        </is>
      </c>
      <c r="D27" s="36" t="n"/>
      <c r="E27" s="36" t="n"/>
      <c r="F27" s="36" t="n"/>
      <c r="G27" s="36" t="n"/>
      <c r="H27" s="36" t="n"/>
      <c r="I27" s="36" t="n"/>
      <c r="J27" s="36" t="n"/>
    </row>
    <row r="28" ht="52" customHeight="1" s="164">
      <c r="A28" s="40" t="inlineStr">
        <is>
          <t>Role-Based Access (4 hospital roles)</t>
        </is>
      </c>
      <c r="B28" s="42" t="inlineStr">
        <is>
          <t>Yes</t>
        </is>
      </c>
      <c r="C28" s="39" t="inlineStr">
        <is>
          <t>hospital_admin · hospital_supervisor · hospital_staff · hospital_coord</t>
        </is>
      </c>
      <c r="D28" s="40" t="n"/>
      <c r="E28" s="40" t="n"/>
      <c r="F28" s="40" t="n"/>
      <c r="G28" s="40" t="n"/>
      <c r="H28" s="40" t="n"/>
      <c r="I28" s="40" t="n"/>
      <c r="J28" s="40" t="n"/>
    </row>
    <row r="29" ht="26" customHeight="1" s="164">
      <c r="A29" s="36" t="inlineStr">
        <is>
          <t>QR-Based Internal Reporting</t>
        </is>
      </c>
      <c r="B29" s="41" t="inlineStr">
        <is>
          <t>Yes</t>
        </is>
      </c>
      <c r="C29" s="35" t="inlineStr">
        <is>
          <t>Staff safety reporting via QR/NFC</t>
        </is>
      </c>
      <c r="D29" s="36" t="n"/>
      <c r="E29" s="36" t="n"/>
      <c r="F29" s="36" t="n"/>
      <c r="G29" s="36" t="n"/>
      <c r="H29" s="36" t="n"/>
      <c r="I29" s="36" t="n"/>
      <c r="J29" s="36" t="n"/>
    </row>
    <row r="30">
      <c r="A30" s="40" t="inlineStr">
        <is>
          <t>Standard Support</t>
        </is>
      </c>
      <c r="B30" s="42" t="inlineStr">
        <is>
          <t>Yes</t>
        </is>
      </c>
      <c r="C30" s="39" t="inlineStr">
        <is>
          <t>Included in base</t>
        </is>
      </c>
      <c r="D30" s="40" t="n"/>
      <c r="E30" s="40" t="n"/>
      <c r="F30" s="40" t="n"/>
      <c r="G30" s="40" t="n"/>
      <c r="H30" s="40" t="n"/>
      <c r="I30" s="40" t="n"/>
      <c r="J30" s="40" t="n"/>
    </row>
    <row r="31">
      <c r="A31" s="36" t="inlineStr">
        <is>
          <t>Standard Onboarding</t>
        </is>
      </c>
      <c r="B31" s="41" t="inlineStr">
        <is>
          <t>Yes</t>
        </is>
      </c>
      <c r="C31" s="35" t="inlineStr">
        <is>
          <t>Remote — included</t>
        </is>
      </c>
      <c r="D31" s="36" t="n"/>
      <c r="E31" s="36" t="n"/>
      <c r="F31" s="36" t="n"/>
      <c r="G31" s="36" t="n"/>
      <c r="H31" s="36" t="n"/>
      <c r="I31" s="36" t="n"/>
      <c r="J31" s="36" t="n"/>
    </row>
    <row r="33">
      <c r="A33" s="117" t="inlineStr">
        <is>
          <t xml:space="preserve">  HOSPITAL ADD-ONS</t>
        </is>
      </c>
    </row>
    <row r="34">
      <c r="A34" s="32" t="inlineStr">
        <is>
          <t>Add-On</t>
        </is>
      </c>
      <c r="B34" s="32" t="inlineStr">
        <is>
          <t>Price Low / Year</t>
        </is>
      </c>
      <c r="C34" s="32" t="inlineStr">
        <is>
          <t>Price High / Year</t>
        </is>
      </c>
      <c r="D34" s="32" t="inlineStr">
        <is>
          <t>Notes</t>
        </is>
      </c>
      <c r="E34" s="32" t="n"/>
      <c r="F34" s="32" t="n"/>
      <c r="G34" s="32" t="n"/>
      <c r="H34" s="32" t="n"/>
      <c r="I34" s="32" t="n"/>
      <c r="J34" s="32" t="n"/>
    </row>
    <row r="35" ht="26" customHeight="1" s="164">
      <c r="A35" s="36" t="inlineStr">
        <is>
          <t>AI Incident Summary</t>
        </is>
      </c>
      <c r="B35" s="34" t="inlineStr">
        <is>
          <t>$3,000</t>
        </is>
      </c>
      <c r="C35" s="34" t="inlineStr">
        <is>
          <t>$8,000</t>
        </is>
      </c>
      <c r="D35" s="35" t="inlineStr">
        <is>
          <t>On-demand AI summary for supervisors</t>
        </is>
      </c>
      <c r="E35" s="36" t="n"/>
      <c r="F35" s="36" t="n"/>
      <c r="G35" s="36" t="n"/>
      <c r="H35" s="36" t="n"/>
      <c r="I35" s="36" t="n"/>
      <c r="J35" s="36" t="n"/>
    </row>
    <row r="36" ht="26" customHeight="1" s="164">
      <c r="A36" s="40" t="inlineStr">
        <is>
          <t>MCI Command Module</t>
        </is>
      </c>
      <c r="B36" s="38" t="inlineStr">
        <is>
          <t>$8,000</t>
        </is>
      </c>
      <c r="C36" s="38" t="inlineStr">
        <is>
          <t>$20,000</t>
        </is>
      </c>
      <c r="D36" s="39" t="inlineStr">
        <is>
          <t>Mass casualty incident coordination tools</t>
        </is>
      </c>
      <c r="E36" s="40" t="n"/>
      <c r="F36" s="40" t="n"/>
      <c r="G36" s="40" t="n"/>
      <c r="H36" s="40" t="n"/>
      <c r="I36" s="40" t="n"/>
      <c r="J36" s="40" t="n"/>
    </row>
    <row r="37" ht="26" customHeight="1" s="164">
      <c r="A37" s="36" t="inlineStr">
        <is>
          <t>EMS Data Integration</t>
        </is>
      </c>
      <c r="B37" s="34" t="inlineStr">
        <is>
          <t>$15,000</t>
        </is>
      </c>
      <c r="C37" s="34" t="inlineStr">
        <is>
          <t>$40,000</t>
        </is>
      </c>
      <c r="D37" s="35" t="inlineStr">
        <is>
          <t>One-time · EMS system connectivity</t>
        </is>
      </c>
      <c r="E37" s="36" t="n"/>
      <c r="F37" s="36" t="n"/>
      <c r="G37" s="36" t="n"/>
      <c r="H37" s="36" t="n"/>
      <c r="I37" s="36" t="n"/>
      <c r="J37" s="36" t="n"/>
    </row>
    <row r="38" ht="26" customHeight="1" s="164">
      <c r="A38" s="40" t="inlineStr">
        <is>
          <t>Agency Share Feature</t>
        </is>
      </c>
      <c r="B38" s="38" t="inlineStr">
        <is>
          <t>$1,500</t>
        </is>
      </c>
      <c r="C38" s="38" t="inlineStr">
        <is>
          <t>$1,500</t>
        </is>
      </c>
      <c r="D38" s="39" t="inlineStr">
        <is>
          <t>Per month — cross-agency incident awareness</t>
        </is>
      </c>
      <c r="E38" s="40" t="n"/>
      <c r="F38" s="40" t="n"/>
      <c r="G38" s="40" t="n"/>
      <c r="H38" s="40" t="n"/>
      <c r="I38" s="40" t="n"/>
      <c r="J38" s="40" t="n"/>
    </row>
    <row r="39" ht="26" customHeight="1" s="164">
      <c r="A39" s="36" t="inlineStr">
        <is>
          <t>Analytics Dashboard</t>
        </is>
      </c>
      <c r="B39" s="34" t="inlineStr">
        <is>
          <t>$4,000</t>
        </is>
      </c>
      <c r="C39" s="34" t="inlineStr">
        <is>
          <t>$10,000</t>
        </is>
      </c>
      <c r="D39" s="35" t="inlineStr">
        <is>
          <t>Capacity trends · pre-alert analytics</t>
        </is>
      </c>
      <c r="E39" s="36" t="n"/>
      <c r="F39" s="36" t="n"/>
      <c r="G39" s="36" t="n"/>
      <c r="H39" s="36" t="n"/>
      <c r="I39" s="36" t="n"/>
      <c r="J39" s="36" t="n"/>
    </row>
    <row r="40">
      <c r="A40" s="40" t="inlineStr">
        <is>
          <t>Priority Support</t>
        </is>
      </c>
      <c r="B40" s="38" t="inlineStr">
        <is>
          <t>$1,000</t>
        </is>
      </c>
      <c r="C40" s="38" t="inlineStr">
        <is>
          <t>$3,000</t>
        </is>
      </c>
      <c r="D40" s="39" t="inlineStr">
        <is>
          <t>Per month</t>
        </is>
      </c>
      <c r="E40" s="40" t="n"/>
      <c r="F40" s="40" t="n"/>
      <c r="G40" s="40" t="n"/>
      <c r="H40" s="40" t="n"/>
      <c r="I40" s="40" t="n"/>
      <c r="J40" s="40" t="n"/>
    </row>
    <row r="41">
      <c r="A41" s="36" t="inlineStr">
        <is>
          <t>Onsite Training</t>
        </is>
      </c>
      <c r="B41" s="34" t="inlineStr">
        <is>
          <t>$10,000</t>
        </is>
      </c>
      <c r="C41" s="34" t="inlineStr">
        <is>
          <t>$25,000</t>
        </is>
      </c>
      <c r="D41" s="35" t="inlineStr">
        <is>
          <t>One-time · plus travel</t>
        </is>
      </c>
      <c r="E41" s="36" t="n"/>
      <c r="F41" s="36" t="n"/>
      <c r="G41" s="36" t="n"/>
      <c r="H41" s="36" t="n"/>
      <c r="I41" s="36" t="n"/>
      <c r="J41" s="36" t="n"/>
    </row>
    <row r="43">
      <c r="A43" s="118" t="inlineStr">
        <is>
          <t>⚠  INTERNAL USE ONLY — Do not share without Sales Director approval.</t>
        </is>
      </c>
    </row>
  </sheetData>
  <mergeCells count="8">
    <mergeCell ref="A1:J1"/>
    <mergeCell ref="A5:J5"/>
    <mergeCell ref="A3:J3"/>
    <mergeCell ref="A12:J12"/>
    <mergeCell ref="A33:J33"/>
    <mergeCell ref="A43:J43"/>
    <mergeCell ref="A2:J2"/>
    <mergeCell ref="A19:J19"/>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J46"/>
  <sheetViews>
    <sheetView zoomScaleNormal="100" workbookViewId="0">
      <selection activeCell="E16" sqref="E16"/>
    </sheetView>
  </sheetViews>
  <sheetFormatPr baseColWidth="10" defaultColWidth="8.6640625" defaultRowHeight="15"/>
  <cols>
    <col width="28" customWidth="1" style="164" min="1" max="1"/>
    <col width="18" customWidth="1" style="164" min="2" max="3"/>
    <col width="22" customWidth="1" style="164" min="4" max="10"/>
  </cols>
  <sheetData>
    <row r="1">
      <c r="A1" s="116" t="inlineStr">
        <is>
          <t>NEXCORT IQ — INTERNAL PRICING GUIDE</t>
        </is>
      </c>
    </row>
    <row r="2" ht="18" customHeight="1" s="164">
      <c r="A2" s="121" t="inlineStr">
        <is>
          <t>NEXCORT IQ TRANSIT</t>
        </is>
      </c>
    </row>
    <row r="3">
      <c r="A3" s="119" t="inlineStr">
        <is>
          <t>Transit authorities · Bus &amp; rail · Passenger safety reporting · Vehicle/station incidents · Two-way chat · QR/NFC</t>
        </is>
      </c>
    </row>
    <row r="5">
      <c r="A5" s="117" t="inlineStr">
        <is>
          <t xml:space="preserve">  BASE SUBSCRIPTION — FLEET-BASED ANNUAL PRICING</t>
        </is>
      </c>
    </row>
    <row r="6">
      <c r="A6" s="32" t="inlineStr">
        <is>
          <t>Transit Tier</t>
        </is>
      </c>
      <c r="B6" s="32" t="inlineStr">
        <is>
          <t>Fleet / Daily Riders</t>
        </is>
      </c>
      <c r="C6" s="32" t="inlineStr">
        <is>
          <t>Annual Fee</t>
        </is>
      </c>
      <c r="D6" s="32" t="inlineStr">
        <is>
          <t>Monthly Equivalent</t>
        </is>
      </c>
      <c r="E6" s="32" t="inlineStr">
        <is>
          <t>Typical Agencies</t>
        </is>
      </c>
      <c r="F6" s="32" t="n"/>
      <c r="G6" s="32" t="n"/>
      <c r="H6" s="32" t="n"/>
      <c r="I6" s="32" t="n"/>
      <c r="J6" s="32" t="n"/>
    </row>
    <row r="7" ht="26" customHeight="1" s="164">
      <c r="A7" s="36" t="inlineStr">
        <is>
          <t>Tier 1 — Small System</t>
        </is>
      </c>
      <c r="B7" s="36" t="inlineStr">
        <is>
          <t>Under 50 vehicles</t>
        </is>
      </c>
      <c r="C7" s="34" t="inlineStr">
        <is>
          <t>$18,000</t>
        </is>
      </c>
      <c r="D7" s="34" t="inlineStr">
        <is>
          <t>$1,500</t>
        </is>
      </c>
      <c r="E7" s="35" t="inlineStr">
        <is>
          <t>Small municipal transit · rural systems · shuttle networks</t>
        </is>
      </c>
      <c r="F7" s="36" t="n"/>
      <c r="G7" s="36" t="n"/>
      <c r="H7" s="36" t="n"/>
      <c r="I7" s="36" t="n"/>
      <c r="J7" s="36" t="n"/>
    </row>
    <row r="8" ht="26" customHeight="1" s="164">
      <c r="A8" s="40" t="inlineStr">
        <is>
          <t>Tier 2 — Mid System</t>
        </is>
      </c>
      <c r="B8" s="40" t="inlineStr">
        <is>
          <t>50–200 vehicles</t>
        </is>
      </c>
      <c r="C8" s="38" t="inlineStr">
        <is>
          <t>$32,000</t>
        </is>
      </c>
      <c r="D8" s="38" t="inlineStr">
        <is>
          <t>$2,667</t>
        </is>
      </c>
      <c r="E8" s="39" t="inlineStr">
        <is>
          <t>Mid-size city transit · regional rail</t>
        </is>
      </c>
      <c r="F8" s="40" t="n"/>
      <c r="G8" s="40" t="n"/>
      <c r="H8" s="40" t="n"/>
      <c r="I8" s="40" t="n"/>
      <c r="J8" s="40" t="n"/>
    </row>
    <row r="9">
      <c r="A9" s="36" t="inlineStr">
        <is>
          <t>Tier 3 — Large System</t>
        </is>
      </c>
      <c r="B9" s="36" t="inlineStr">
        <is>
          <t>200–500 vehicles</t>
        </is>
      </c>
      <c r="C9" s="34" t="inlineStr">
        <is>
          <t>$52,000</t>
        </is>
      </c>
      <c r="D9" s="34" t="inlineStr">
        <is>
          <t>$4,333</t>
        </is>
      </c>
      <c r="E9" s="35" t="inlineStr">
        <is>
          <t>Major city transit authorities</t>
        </is>
      </c>
      <c r="F9" s="36" t="n"/>
      <c r="G9" s="36" t="n"/>
      <c r="H9" s="36" t="n"/>
      <c r="I9" s="36" t="n"/>
      <c r="J9" s="36" t="n"/>
    </row>
    <row r="10" ht="26" customHeight="1" s="164">
      <c r="A10" s="40" t="inlineStr">
        <is>
          <t>Tier 4 — Metro System</t>
        </is>
      </c>
      <c r="B10" s="40" t="inlineStr">
        <is>
          <t>500+ vehicles</t>
        </is>
      </c>
      <c r="C10" s="38" t="inlineStr">
        <is>
          <t>$85,000+</t>
        </is>
      </c>
      <c r="D10" s="38" t="inlineStr">
        <is>
          <t>Custom</t>
        </is>
      </c>
      <c r="E10" s="39" t="inlineStr">
        <is>
          <t>Large metro rail/bus · statewide transit</t>
        </is>
      </c>
      <c r="F10" s="40" t="n"/>
      <c r="G10" s="40" t="n"/>
      <c r="H10" s="40" t="n"/>
      <c r="I10" s="40" t="n"/>
      <c r="J10" s="40" t="n"/>
    </row>
    <row r="12">
      <c r="A12" s="117" t="inlineStr">
        <is>
          <t xml:space="preserve">  IMPLEMENTATION — ONE-TIME</t>
        </is>
      </c>
    </row>
    <row r="13">
      <c r="A13" s="32" t="inlineStr">
        <is>
          <t>Tier</t>
        </is>
      </c>
      <c r="B13" s="32" t="inlineStr">
        <is>
          <t>Implementation Fee</t>
        </is>
      </c>
      <c r="C13" s="32" t="inlineStr">
        <is>
          <t>Includes</t>
        </is>
      </c>
      <c r="D13" s="32" t="n"/>
      <c r="E13" s="32" t="n"/>
      <c r="F13" s="32" t="n"/>
      <c r="G13" s="32" t="n"/>
      <c r="H13" s="32" t="n"/>
      <c r="I13" s="32" t="n"/>
      <c r="J13" s="32" t="n"/>
    </row>
    <row r="14" ht="65" customHeight="1" s="164">
      <c r="A14" s="36" t="inlineStr">
        <is>
          <t>Tier 1 — Small</t>
        </is>
      </c>
      <c r="B14" s="34" t="inlineStr">
        <is>
          <t>$10,000</t>
        </is>
      </c>
      <c r="C14" s="35" t="inlineStr">
        <is>
          <t>Console setup · QR/NFC for vehicles and stations · staff training · route configuration</t>
        </is>
      </c>
      <c r="D14" s="36" t="n"/>
      <c r="E14" s="36" t="n"/>
      <c r="F14" s="36" t="n"/>
      <c r="G14" s="36" t="n"/>
      <c r="H14" s="36" t="n"/>
      <c r="I14" s="36" t="n"/>
      <c r="J14" s="36" t="n"/>
    </row>
    <row r="15" ht="39" customHeight="1" s="164">
      <c r="A15" s="40" t="inlineStr">
        <is>
          <t>Tier 2 — Mid</t>
        </is>
      </c>
      <c r="B15" s="38" t="inlineStr">
        <is>
          <t>$18,000</t>
        </is>
      </c>
      <c r="C15" s="39" t="inlineStr">
        <is>
          <t>All above + multi-route config · station zone mapping</t>
        </is>
      </c>
      <c r="D15" s="40" t="n"/>
      <c r="E15" s="40" t="n"/>
      <c r="F15" s="40" t="n"/>
      <c r="G15" s="40" t="n"/>
      <c r="H15" s="40" t="n"/>
      <c r="I15" s="40" t="n"/>
      <c r="J15" s="40" t="n"/>
    </row>
    <row r="16" ht="52" customHeight="1" s="164">
      <c r="A16" s="36" t="inlineStr">
        <is>
          <t>Tier 3 — Large</t>
        </is>
      </c>
      <c r="B16" s="34" t="inlineStr">
        <is>
          <t>$28,000</t>
        </is>
      </c>
      <c r="C16" s="35" t="inlineStr">
        <is>
          <t>All above + command integration · camera planning · multi-depot config</t>
        </is>
      </c>
      <c r="D16" s="36" t="n"/>
      <c r="E16" s="36" t="n"/>
      <c r="F16" s="36" t="n"/>
      <c r="G16" s="36" t="n"/>
      <c r="H16" s="36" t="n"/>
      <c r="I16" s="36" t="n"/>
      <c r="J16" s="36" t="n"/>
    </row>
    <row r="17" ht="52" customHeight="1" s="164">
      <c r="A17" s="40" t="inlineStr">
        <is>
          <t>Tier 4 — Metro</t>
        </is>
      </c>
      <c r="B17" s="38" t="inlineStr">
        <is>
          <t>$45,000</t>
        </is>
      </c>
      <c r="C17" s="39" t="inlineStr">
        <is>
          <t>Full system config · multi-line · dedicated rollout · custom workflow</t>
        </is>
      </c>
      <c r="D17" s="40" t="n"/>
      <c r="E17" s="40" t="n"/>
      <c r="F17" s="40" t="n"/>
      <c r="G17" s="40" t="n"/>
      <c r="H17" s="40" t="n"/>
      <c r="I17" s="40" t="n"/>
      <c r="J17" s="40" t="n"/>
    </row>
    <row r="19">
      <c r="A19" s="117" t="inlineStr">
        <is>
          <t xml:space="preserve">  INCLUDED IN BASE — ALL TRANSIT PLANS</t>
        </is>
      </c>
    </row>
    <row r="20">
      <c r="A20" s="32" t="inlineStr">
        <is>
          <t>Capability</t>
        </is>
      </c>
      <c r="B20" s="32" t="inlineStr">
        <is>
          <t>Included?</t>
        </is>
      </c>
      <c r="C20" s="32" t="inlineStr">
        <is>
          <t>Notes</t>
        </is>
      </c>
      <c r="D20" s="32" t="n"/>
      <c r="E20" s="32" t="n"/>
      <c r="F20" s="32" t="n"/>
      <c r="G20" s="32" t="n"/>
      <c r="H20" s="32" t="n"/>
      <c r="I20" s="32" t="n"/>
      <c r="J20" s="32" t="n"/>
    </row>
    <row r="21" ht="39" customHeight="1" s="164">
      <c r="A21" s="36" t="inlineStr">
        <is>
          <t>Transit Security Console</t>
        </is>
      </c>
      <c r="B21" s="41" t="inlineStr">
        <is>
          <t>Yes</t>
        </is>
      </c>
      <c r="C21" s="35" t="inlineStr">
        <is>
          <t>transit_security role — Signal color system (indigo vertical)</t>
        </is>
      </c>
      <c r="D21" s="36" t="n"/>
      <c r="E21" s="36" t="n"/>
      <c r="F21" s="36" t="n"/>
      <c r="G21" s="36" t="n"/>
      <c r="H21" s="36" t="n"/>
      <c r="I21" s="36" t="n"/>
      <c r="J21" s="36" t="n"/>
    </row>
    <row r="22" ht="39" customHeight="1" s="164">
      <c r="A22" s="40" t="inlineStr">
        <is>
          <t>Transit Supervisor Dashboard</t>
        </is>
      </c>
      <c r="B22" s="42" t="inlineStr">
        <is>
          <t>Yes</t>
        </is>
      </c>
      <c r="C22" s="39" t="inlineStr">
        <is>
          <t>Live route map · incident overlay · escalations</t>
        </is>
      </c>
      <c r="D22" s="40" t="n"/>
      <c r="E22" s="40" t="n"/>
      <c r="F22" s="40" t="n"/>
      <c r="G22" s="40" t="n"/>
      <c r="H22" s="40" t="n"/>
      <c r="I22" s="40" t="n"/>
      <c r="J22" s="40" t="n"/>
    </row>
    <row r="23" ht="39" customHeight="1" s="164">
      <c r="A23" s="36" t="inlineStr">
        <is>
          <t>Transit Admin Console</t>
        </is>
      </c>
      <c r="B23" s="41" t="inlineStr">
        <is>
          <t>Yes</t>
        </is>
      </c>
      <c r="C23" s="35" t="inlineStr">
        <is>
          <t>Route/zone setup · staff management · reporting</t>
        </is>
      </c>
      <c r="D23" s="36" t="n"/>
      <c r="E23" s="36" t="n"/>
      <c r="F23" s="36" t="n"/>
      <c r="G23" s="36" t="n"/>
      <c r="H23" s="36" t="n"/>
      <c r="I23" s="36" t="n"/>
      <c r="J23" s="36" t="n"/>
    </row>
    <row r="24" ht="39" customHeight="1" s="164">
      <c r="A24" s="40" t="inlineStr">
        <is>
          <t>Transit Operator View</t>
        </is>
      </c>
      <c r="B24" s="42" t="inlineStr">
        <is>
          <t>Yes</t>
        </is>
      </c>
      <c r="C24" s="39" t="inlineStr">
        <is>
          <t>Read-only · vehicle status · active incidents on route</t>
        </is>
      </c>
      <c r="D24" s="40" t="n"/>
      <c r="E24" s="40" t="n"/>
      <c r="F24" s="40" t="n"/>
      <c r="G24" s="40" t="n"/>
      <c r="H24" s="40" t="n"/>
      <c r="I24" s="40" t="n"/>
      <c r="J24" s="40" t="n"/>
    </row>
    <row r="25" ht="39" customHeight="1" s="164">
      <c r="A25" s="36" t="inlineStr">
        <is>
          <t>QR/NFC Passenger Reporting</t>
        </is>
      </c>
      <c r="B25" s="41" t="inlineStr">
        <is>
          <t>Yes</t>
        </is>
      </c>
      <c r="C25" s="35" t="inlineStr">
        <is>
          <t>Vehicle QR codes · station NFC tags · no app required</t>
        </is>
      </c>
      <c r="D25" s="36" t="n"/>
      <c r="E25" s="36" t="n"/>
      <c r="F25" s="36" t="n"/>
      <c r="G25" s="36" t="n"/>
      <c r="H25" s="36" t="n"/>
      <c r="I25" s="36" t="n"/>
      <c r="J25" s="36" t="n"/>
    </row>
    <row r="26">
      <c r="A26" s="40" t="inlineStr">
        <is>
          <t>SMS Reporting Channel</t>
        </is>
      </c>
      <c r="B26" s="42" t="inlineStr">
        <is>
          <t>Yes</t>
        </is>
      </c>
      <c r="C26" s="39" t="inlineStr">
        <is>
          <t>Passenger text intake</t>
        </is>
      </c>
      <c r="D26" s="40" t="n"/>
      <c r="E26" s="40" t="n"/>
      <c r="F26" s="40" t="n"/>
      <c r="G26" s="40" t="n"/>
      <c r="H26" s="40" t="n"/>
      <c r="I26" s="40" t="n"/>
      <c r="J26" s="40" t="n"/>
    </row>
    <row r="27" ht="28" customHeight="1" s="164">
      <c r="A27" s="36" t="inlineStr">
        <is>
          <t>Two-Way Chat — Passenger to Security</t>
        </is>
      </c>
      <c r="B27" s="41" t="inlineStr">
        <is>
          <t>Yes</t>
        </is>
      </c>
      <c r="C27" s="35" t="inlineStr">
        <is>
          <t>Secure messaging</t>
        </is>
      </c>
      <c r="D27" s="36" t="n"/>
      <c r="E27" s="36" t="n"/>
      <c r="F27" s="36" t="n"/>
      <c r="G27" s="36" t="n"/>
      <c r="H27" s="36" t="n"/>
      <c r="I27" s="36" t="n"/>
      <c r="J27" s="36" t="n"/>
    </row>
    <row r="28" ht="26" customHeight="1" s="164">
      <c r="A28" s="40" t="inlineStr">
        <is>
          <t>Photo &amp; Video Evidence Intake</t>
        </is>
      </c>
      <c r="B28" s="42" t="inlineStr">
        <is>
          <t>Yes</t>
        </is>
      </c>
      <c r="C28" s="39" t="inlineStr">
        <is>
          <t>Attached to incident record</t>
        </is>
      </c>
      <c r="D28" s="40" t="n"/>
      <c r="E28" s="40" t="n"/>
      <c r="F28" s="40" t="n"/>
      <c r="G28" s="40" t="n"/>
      <c r="H28" s="40" t="n"/>
      <c r="I28" s="40" t="n"/>
      <c r="J28" s="40" t="n"/>
    </row>
    <row r="29">
      <c r="A29" s="36" t="inlineStr">
        <is>
          <t>Incident Timeline</t>
        </is>
      </c>
      <c r="B29" s="41" t="inlineStr">
        <is>
          <t>Yes</t>
        </is>
      </c>
      <c r="C29" s="35" t="inlineStr">
        <is>
          <t>Auto-built per incident</t>
        </is>
      </c>
      <c r="D29" s="36" t="n"/>
      <c r="E29" s="36" t="n"/>
      <c r="F29" s="36" t="n"/>
      <c r="G29" s="36" t="n"/>
      <c r="H29" s="36" t="n"/>
      <c r="I29" s="36" t="n"/>
      <c r="J29" s="36" t="n"/>
    </row>
    <row r="30" ht="26" customHeight="1" s="164">
      <c r="A30" s="40" t="inlineStr">
        <is>
          <t>Signal Color System</t>
        </is>
      </c>
      <c r="B30" s="42" t="inlineStr">
        <is>
          <t>Yes</t>
        </is>
      </c>
      <c r="C30" s="39" t="inlineStr">
        <is>
          <t>Indigo vertical band — transit identity</t>
        </is>
      </c>
      <c r="D30" s="40" t="n"/>
      <c r="E30" s="40" t="n"/>
      <c r="F30" s="40" t="n"/>
      <c r="G30" s="40" t="n"/>
      <c r="H30" s="40" t="n"/>
      <c r="I30" s="40" t="n"/>
      <c r="J30" s="40" t="n"/>
    </row>
    <row r="31" ht="52" customHeight="1" s="164">
      <c r="A31" s="36" t="inlineStr">
        <is>
          <t>Role-Based Access (4 transit roles)</t>
        </is>
      </c>
      <c r="B31" s="41" t="inlineStr">
        <is>
          <t>Yes</t>
        </is>
      </c>
      <c r="C31" s="35" t="inlineStr">
        <is>
          <t>transit_admin · transit_supervisor · transit_security · transit_operator</t>
        </is>
      </c>
      <c r="D31" s="36" t="n"/>
      <c r="E31" s="36" t="n"/>
      <c r="F31" s="36" t="n"/>
      <c r="G31" s="36" t="n"/>
      <c r="H31" s="36" t="n"/>
      <c r="I31" s="36" t="n"/>
      <c r="J31" s="36" t="n"/>
    </row>
    <row r="32">
      <c r="A32" s="40" t="inlineStr">
        <is>
          <t>Standard Support</t>
        </is>
      </c>
      <c r="B32" s="42" t="inlineStr">
        <is>
          <t>Yes</t>
        </is>
      </c>
      <c r="C32" s="39" t="inlineStr">
        <is>
          <t>Included in base</t>
        </is>
      </c>
      <c r="D32" s="40" t="n"/>
      <c r="E32" s="40" t="n"/>
      <c r="F32" s="40" t="n"/>
      <c r="G32" s="40" t="n"/>
      <c r="H32" s="40" t="n"/>
      <c r="I32" s="40" t="n"/>
      <c r="J32" s="40" t="n"/>
    </row>
    <row r="33">
      <c r="A33" s="36" t="inlineStr">
        <is>
          <t>Standard Onboarding</t>
        </is>
      </c>
      <c r="B33" s="41" t="inlineStr">
        <is>
          <t>Yes</t>
        </is>
      </c>
      <c r="C33" s="35" t="inlineStr">
        <is>
          <t>Remote — included</t>
        </is>
      </c>
      <c r="D33" s="36" t="n"/>
      <c r="E33" s="36" t="n"/>
      <c r="F33" s="36" t="n"/>
      <c r="G33" s="36" t="n"/>
      <c r="H33" s="36" t="n"/>
      <c r="I33" s="36" t="n"/>
      <c r="J33" s="36" t="n"/>
    </row>
    <row r="35">
      <c r="A35" s="117" t="inlineStr">
        <is>
          <t xml:space="preserve">  TRANSIT ADD-ONS</t>
        </is>
      </c>
    </row>
    <row r="36">
      <c r="A36" s="32" t="inlineStr">
        <is>
          <t>Add-On</t>
        </is>
      </c>
      <c r="B36" s="32" t="inlineStr">
        <is>
          <t>Price Low / Year</t>
        </is>
      </c>
      <c r="C36" s="32" t="inlineStr">
        <is>
          <t>Price High / Year</t>
        </is>
      </c>
      <c r="D36" s="32" t="inlineStr">
        <is>
          <t>Notes</t>
        </is>
      </c>
      <c r="E36" s="32" t="n"/>
      <c r="F36" s="32" t="n"/>
      <c r="G36" s="32" t="n"/>
      <c r="H36" s="32" t="n"/>
      <c r="I36" s="32" t="n"/>
      <c r="J36" s="32" t="n"/>
    </row>
    <row r="37" ht="26" customHeight="1" s="164">
      <c r="A37" s="36" t="inlineStr">
        <is>
          <t>AI Incident Summary</t>
        </is>
      </c>
      <c r="B37" s="34" t="inlineStr">
        <is>
          <t>$3,000</t>
        </is>
      </c>
      <c r="C37" s="34" t="inlineStr">
        <is>
          <t>$8,000</t>
        </is>
      </c>
      <c r="D37" s="35" t="inlineStr">
        <is>
          <t>On-demand AI summary for supervisors</t>
        </is>
      </c>
      <c r="E37" s="36" t="n"/>
      <c r="F37" s="36" t="n"/>
      <c r="G37" s="36" t="n"/>
      <c r="H37" s="36" t="n"/>
      <c r="I37" s="36" t="n"/>
      <c r="J37" s="36" t="n"/>
    </row>
    <row r="38" ht="28" customHeight="1" s="164">
      <c r="A38" s="40" t="inlineStr">
        <is>
          <t>NexCort iQ Connect — Camera Integ.</t>
        </is>
      </c>
      <c r="B38" s="38" t="inlineStr">
        <is>
          <t>$6,000</t>
        </is>
      </c>
      <c r="C38" s="38" t="inlineStr">
        <is>
          <t>$18,000</t>
        </is>
      </c>
      <c r="D38" s="39" t="inlineStr">
        <is>
          <t>ONVIF/RTSP vehicle/station camera integration</t>
        </is>
      </c>
      <c r="E38" s="40" t="n"/>
      <c r="F38" s="40" t="n"/>
      <c r="G38" s="40" t="n"/>
      <c r="H38" s="40" t="n"/>
      <c r="I38" s="40" t="n"/>
      <c r="J38" s="40" t="n"/>
    </row>
    <row r="39" ht="26" customHeight="1" s="164">
      <c r="A39" s="36" t="inlineStr">
        <is>
          <t>Agency Share Feature</t>
        </is>
      </c>
      <c r="B39" s="34" t="inlineStr">
        <is>
          <t>$1,500</t>
        </is>
      </c>
      <c r="C39" s="34" t="inlineStr">
        <is>
          <t>$1,500</t>
        </is>
      </c>
      <c r="D39" s="35" t="inlineStr">
        <is>
          <t>Per month — cross-agency incident awareness</t>
        </is>
      </c>
      <c r="E39" s="36" t="n"/>
      <c r="F39" s="36" t="n"/>
      <c r="G39" s="36" t="n"/>
      <c r="H39" s="36" t="n"/>
      <c r="I39" s="36" t="n"/>
      <c r="J39" s="36" t="n"/>
    </row>
    <row r="40" ht="26" customHeight="1" s="164">
      <c r="A40" s="40" t="inlineStr">
        <is>
          <t>Analytics Dashboard</t>
        </is>
      </c>
      <c r="B40" s="38" t="inlineStr">
        <is>
          <t>$4,000</t>
        </is>
      </c>
      <c r="C40" s="38" t="inlineStr">
        <is>
          <t>$10,000</t>
        </is>
      </c>
      <c r="D40" s="39" t="inlineStr">
        <is>
          <t>Route reports · incident heat maps</t>
        </is>
      </c>
      <c r="E40" s="40" t="n"/>
      <c r="F40" s="40" t="n"/>
      <c r="G40" s="40" t="n"/>
      <c r="H40" s="40" t="n"/>
      <c r="I40" s="40" t="n"/>
      <c r="J40" s="40" t="n"/>
    </row>
    <row r="41" ht="28" customHeight="1" s="164">
      <c r="A41" s="36" t="inlineStr">
        <is>
          <t>Two-Way Chat Translation (40+ langs)</t>
        </is>
      </c>
      <c r="B41" s="34" t="inlineStr">
        <is>
          <t>$2,500</t>
        </is>
      </c>
      <c r="C41" s="34" t="inlineStr">
        <is>
          <t>$6,000</t>
        </is>
      </c>
      <c r="D41" s="35" t="inlineStr">
        <is>
          <t>Passenger ↔ security translation</t>
        </is>
      </c>
      <c r="E41" s="36" t="n"/>
      <c r="F41" s="36" t="n"/>
      <c r="G41" s="36" t="n"/>
      <c r="H41" s="36" t="n"/>
      <c r="I41" s="36" t="n"/>
      <c r="J41" s="36" t="n"/>
    </row>
    <row r="42" ht="26" customHeight="1" s="164">
      <c r="A42" s="40" t="inlineStr">
        <is>
          <t>SMS Location Acquisition</t>
        </is>
      </c>
      <c r="B42" s="38" t="inlineStr">
        <is>
          <t>$2,500</t>
        </is>
      </c>
      <c r="C42" s="38" t="inlineStr">
        <is>
          <t>$6,000</t>
        </is>
      </c>
      <c r="D42" s="39" t="inlineStr">
        <is>
          <t>Auto-reply location link on text intake</t>
        </is>
      </c>
      <c r="E42" s="40" t="n"/>
      <c r="F42" s="40" t="n"/>
      <c r="G42" s="40" t="n"/>
      <c r="H42" s="40" t="n"/>
      <c r="I42" s="40" t="n"/>
      <c r="J42" s="40" t="n"/>
    </row>
    <row r="43">
      <c r="A43" s="36" t="inlineStr">
        <is>
          <t>Priority Support</t>
        </is>
      </c>
      <c r="B43" s="34" t="inlineStr">
        <is>
          <t>$1,000</t>
        </is>
      </c>
      <c r="C43" s="34" t="inlineStr">
        <is>
          <t>$3,000</t>
        </is>
      </c>
      <c r="D43" s="35" t="inlineStr">
        <is>
          <t>Per month</t>
        </is>
      </c>
      <c r="E43" s="36" t="n"/>
      <c r="F43" s="36" t="n"/>
      <c r="G43" s="36" t="n"/>
      <c r="H43" s="36" t="n"/>
      <c r="I43" s="36" t="n"/>
      <c r="J43" s="36" t="n"/>
    </row>
    <row r="44">
      <c r="A44" s="40" t="inlineStr">
        <is>
          <t>Onsite Training</t>
        </is>
      </c>
      <c r="B44" s="38" t="inlineStr">
        <is>
          <t>$10,000</t>
        </is>
      </c>
      <c r="C44" s="38" t="inlineStr">
        <is>
          <t>$25,000</t>
        </is>
      </c>
      <c r="D44" s="39" t="inlineStr">
        <is>
          <t>One-time · plus travel</t>
        </is>
      </c>
      <c r="E44" s="40" t="n"/>
      <c r="F44" s="40" t="n"/>
      <c r="G44" s="40" t="n"/>
      <c r="H44" s="40" t="n"/>
      <c r="I44" s="40" t="n"/>
      <c r="J44" s="40" t="n"/>
    </row>
    <row r="46">
      <c r="A46" s="118" t="inlineStr">
        <is>
          <t>⚠  INTERNAL USE ONLY — Do not share without Sales Director approval.</t>
        </is>
      </c>
    </row>
  </sheetData>
  <mergeCells count="8">
    <mergeCell ref="A1:J1"/>
    <mergeCell ref="A46:J46"/>
    <mergeCell ref="A5:J5"/>
    <mergeCell ref="A3:J3"/>
    <mergeCell ref="A35:J35"/>
    <mergeCell ref="A12:J12"/>
    <mergeCell ref="A2:J2"/>
    <mergeCell ref="A19:J19"/>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G51"/>
  <sheetViews>
    <sheetView zoomScaleNormal="100" workbookViewId="0">
      <selection activeCell="A35" sqref="A35"/>
    </sheetView>
  </sheetViews>
  <sheetFormatPr baseColWidth="10" defaultColWidth="8.6640625" defaultRowHeight="15"/>
  <cols>
    <col width="25.33203125" bestFit="1" customWidth="1" style="164" min="1" max="1"/>
    <col width="22.83203125" bestFit="1" customWidth="1" style="164" min="2" max="2"/>
    <col width="9.5" bestFit="1" customWidth="1" style="164" min="3" max="3"/>
    <col width="21" bestFit="1" customWidth="1" style="164" min="4" max="4"/>
    <col width="15.83203125" bestFit="1" customWidth="1" style="164" min="5" max="5"/>
    <col width="37.1640625" bestFit="1" customWidth="1" style="164" min="6" max="6"/>
    <col width="34.6640625" bestFit="1" customWidth="1" style="164" min="7" max="7"/>
    <col width="8.6640625" customWidth="1" style="164" min="8" max="16384"/>
  </cols>
  <sheetData>
    <row r="1">
      <c r="A1" s="162" t="inlineStr">
        <is>
          <t>NEXCORT IQ — INTERNAL PRICING GUIDE</t>
        </is>
      </c>
    </row>
    <row r="2" ht="18" customHeight="1" s="164">
      <c r="A2" s="165" t="inlineStr">
        <is>
          <t>NEXCORT IQ — PRODUCT VERTICALS OVERVIEW</t>
        </is>
      </c>
    </row>
    <row r="3">
      <c r="A3" s="166" t="inlineStr">
        <is>
          <t>RC 911 · RC Campus · RC Venue · RC Hospital · RC Transit — side-by-side comparison</t>
        </is>
      </c>
    </row>
    <row r="5">
      <c r="A5" s="117" t="inlineStr">
        <is>
          <t xml:space="preserve">  PRICING MODEL BY VERTICAL</t>
        </is>
      </c>
    </row>
    <row r="6">
      <c r="A6" s="167" t="inlineStr">
        <is>
          <t>Vertical</t>
        </is>
      </c>
      <c r="B6" s="167" t="inlineStr">
        <is>
          <t>Pricing Model</t>
        </is>
      </c>
      <c r="C6" s="167" t="inlineStr">
        <is>
          <t>Entry Price</t>
        </is>
      </c>
      <c r="D6" s="167" t="inlineStr">
        <is>
          <t>Top of Range</t>
        </is>
      </c>
      <c r="E6" s="167" t="inlineStr">
        <is>
          <t>Minimum Contract</t>
        </is>
      </c>
      <c r="F6" s="167" t="inlineStr">
        <is>
          <t>Notes</t>
        </is>
      </c>
    </row>
    <row r="7">
      <c r="A7" s="168" t="inlineStr">
        <is>
          <t>RC 911</t>
        </is>
      </c>
      <c r="B7" s="169" t="inlineStr">
        <is>
          <t>Per seat / month</t>
        </is>
      </c>
      <c r="C7" s="170" t="inlineStr">
        <is>
          <t>$2,800/mo</t>
        </is>
      </c>
      <c r="D7" s="170" t="inlineStr">
        <is>
          <t>$50,000/mo</t>
        </is>
      </c>
      <c r="E7" s="170" t="inlineStr">
        <is>
          <t>No stated minimum</t>
        </is>
      </c>
      <c r="F7" s="171" t="inlineStr">
        <is>
          <t>Essential → Professional → Command → Enterprise</t>
        </is>
      </c>
      <c r="G7" s="169" t="n"/>
    </row>
    <row r="8">
      <c r="A8" s="172" t="inlineStr">
        <is>
          <t>RC Campus</t>
        </is>
      </c>
      <c r="B8" s="173" t="inlineStr">
        <is>
          <t>$1.40 / enrolled student / yr</t>
        </is>
      </c>
      <c r="C8" s="174" t="inlineStr">
        <is>
          <t>$15,000/yr</t>
        </is>
      </c>
      <c r="D8" s="174" t="inlineStr">
        <is>
          <t>Unlimited</t>
        </is>
      </c>
      <c r="E8" s="174" t="inlineStr">
        <is>
          <t>$15,000/yr</t>
        </is>
      </c>
      <c r="F8" s="175" t="inlineStr">
        <is>
          <t>Enrollment-based · 30% non-user adj. built in</t>
        </is>
      </c>
      <c r="G8" s="173" t="n"/>
    </row>
    <row r="9">
      <c r="A9" s="168" t="inlineStr">
        <is>
          <t>RC Venue</t>
        </is>
      </c>
      <c r="B9" s="169" t="inlineStr">
        <is>
          <t>Capacity-based annual</t>
        </is>
      </c>
      <c r="C9" s="170" t="inlineStr">
        <is>
          <t>$18,000/yr</t>
        </is>
      </c>
      <c r="D9" s="170" t="inlineStr">
        <is>
          <t>$72,000+/yr</t>
        </is>
      </c>
      <c r="E9" s="170" t="inlineStr">
        <is>
          <t>No stated minimum</t>
        </is>
      </c>
      <c r="F9" s="171" t="inlineStr">
        <is>
          <t>Tier 1–4 by max capacity</t>
        </is>
      </c>
      <c r="G9" s="169" t="n"/>
    </row>
    <row r="10">
      <c r="A10" s="172" t="inlineStr">
        <is>
          <t>RC Hospital</t>
        </is>
      </c>
      <c r="B10" s="173" t="inlineStr">
        <is>
          <t>Facility/bed-based annual</t>
        </is>
      </c>
      <c r="C10" s="174" t="inlineStr">
        <is>
          <t>$18,000/yr</t>
        </is>
      </c>
      <c r="D10" s="174" t="inlineStr">
        <is>
          <t>$75,000+/yr</t>
        </is>
      </c>
      <c r="E10" s="174" t="inlineStr">
        <is>
          <t>No stated minimum</t>
        </is>
      </c>
      <c r="F10" s="175" t="inlineStr">
        <is>
          <t>Tier 1–4 by licensed bed count</t>
        </is>
      </c>
      <c r="G10" s="173" t="n"/>
    </row>
    <row r="11">
      <c r="A11" s="168" t="inlineStr">
        <is>
          <t>RC Transit</t>
        </is>
      </c>
      <c r="B11" s="169" t="inlineStr">
        <is>
          <t>Fleet-based annual</t>
        </is>
      </c>
      <c r="C11" s="170" t="inlineStr">
        <is>
          <t>$18,000/yr</t>
        </is>
      </c>
      <c r="D11" s="170" t="inlineStr">
        <is>
          <t>$85,000+/yr</t>
        </is>
      </c>
      <c r="E11" s="170" t="inlineStr">
        <is>
          <t>No stated minimum</t>
        </is>
      </c>
      <c r="F11" s="171" t="inlineStr">
        <is>
          <t>Tier 1–4 by vehicle count</t>
        </is>
      </c>
      <c r="G11" s="169" t="n"/>
    </row>
    <row r="13">
      <c r="A13" s="117" t="inlineStr">
        <is>
          <t xml:space="preserve">  SHARED CAPABILITIES ACROSS ALL VERTICALS</t>
        </is>
      </c>
    </row>
    <row r="14">
      <c r="A14" s="167" t="inlineStr">
        <is>
          <t>Capability</t>
        </is>
      </c>
      <c r="B14" s="167" t="inlineStr">
        <is>
          <t>RC 911</t>
        </is>
      </c>
      <c r="C14" s="167" t="inlineStr">
        <is>
          <t>RC Campus</t>
        </is>
      </c>
      <c r="D14" s="167" t="inlineStr">
        <is>
          <t>RC Venue</t>
        </is>
      </c>
      <c r="E14" s="167" t="inlineStr">
        <is>
          <t>RC Hospital</t>
        </is>
      </c>
      <c r="F14" s="167" t="inlineStr">
        <is>
          <t>RC Transit</t>
        </is>
      </c>
      <c r="G14" s="167" t="inlineStr">
        <is>
          <t>Notes</t>
        </is>
      </c>
    </row>
    <row r="15">
      <c r="A15" s="169" t="inlineStr">
        <is>
          <t>Signal Color System</t>
        </is>
      </c>
      <c r="B15" s="176" t="inlineStr">
        <is>
          <t>✓</t>
        </is>
      </c>
      <c r="C15" s="176" t="inlineStr">
        <is>
          <t>✓</t>
        </is>
      </c>
      <c r="D15" s="176" t="inlineStr">
        <is>
          <t>✓</t>
        </is>
      </c>
      <c r="E15" s="176" t="inlineStr">
        <is>
          <t>✓</t>
        </is>
      </c>
      <c r="F15" s="176" t="inlineStr">
        <is>
          <t>✓</t>
        </is>
      </c>
      <c r="G15" s="171" t="inlineStr">
        <is>
          <t>7 semantic priority colors — all consoles</t>
        </is>
      </c>
    </row>
    <row r="16">
      <c r="A16" s="173" t="inlineStr">
        <is>
          <t>QR Reporting</t>
        </is>
      </c>
      <c r="B16" s="177" t="inlineStr">
        <is>
          <t>✓</t>
        </is>
      </c>
      <c r="C16" s="177" t="inlineStr">
        <is>
          <t>✓</t>
        </is>
      </c>
      <c r="D16" s="177" t="inlineStr">
        <is>
          <t>✓</t>
        </is>
      </c>
      <c r="E16" s="175" t="inlineStr">
        <is>
          <t>Limited</t>
        </is>
      </c>
      <c r="F16" s="177" t="inlineStr">
        <is>
          <t>✓</t>
        </is>
      </c>
      <c r="G16" s="175" t="inlineStr">
        <is>
          <t>911 = add-on · Campus/Venue/Transit = included</t>
        </is>
      </c>
    </row>
    <row r="17">
      <c r="A17" s="169" t="inlineStr">
        <is>
          <t>NFC Tag Support</t>
        </is>
      </c>
      <c r="B17" s="176" t="inlineStr">
        <is>
          <t>✓</t>
        </is>
      </c>
      <c r="C17" s="176" t="inlineStr">
        <is>
          <t>✓</t>
        </is>
      </c>
      <c r="D17" s="176" t="inlineStr">
        <is>
          <t>✓</t>
        </is>
      </c>
      <c r="E17" s="171" t="inlineStr">
        <is>
          <t>Limited</t>
        </is>
      </c>
      <c r="F17" s="176" t="inlineStr">
        <is>
          <t>✓</t>
        </is>
      </c>
      <c r="G17" s="171" t="inlineStr">
        <is>
          <t>Same URL as QR — all verticals</t>
        </is>
      </c>
    </row>
    <row r="18">
      <c r="A18" s="173" t="inlineStr">
        <is>
          <t>SMS Reporting</t>
        </is>
      </c>
      <c r="B18" s="177" t="inlineStr">
        <is>
          <t>✓</t>
        </is>
      </c>
      <c r="C18" s="177" t="inlineStr">
        <is>
          <t>✓</t>
        </is>
      </c>
      <c r="D18" s="177" t="inlineStr">
        <is>
          <t>✓</t>
        </is>
      </c>
      <c r="E18" s="178" t="inlineStr">
        <is>
          <t>—</t>
        </is>
      </c>
      <c r="F18" s="177" t="inlineStr">
        <is>
          <t>✓</t>
        </is>
      </c>
      <c r="G18" s="175" t="n"/>
    </row>
    <row r="19">
      <c r="A19" s="169" t="inlineStr">
        <is>
          <t>Two-Way Chat</t>
        </is>
      </c>
      <c r="B19" s="176" t="inlineStr">
        <is>
          <t>✓</t>
        </is>
      </c>
      <c r="C19" s="176" t="inlineStr">
        <is>
          <t>✓</t>
        </is>
      </c>
      <c r="D19" s="176" t="inlineStr">
        <is>
          <t>✓</t>
        </is>
      </c>
      <c r="E19" s="179" t="inlineStr">
        <is>
          <t>—</t>
        </is>
      </c>
      <c r="F19" s="176" t="inlineStr">
        <is>
          <t>✓</t>
        </is>
      </c>
      <c r="G19" s="171" t="n"/>
    </row>
    <row r="20">
      <c r="A20" s="173" t="inlineStr">
        <is>
          <t>Photo/Video Intake</t>
        </is>
      </c>
      <c r="B20" s="177" t="inlineStr">
        <is>
          <t>✓</t>
        </is>
      </c>
      <c r="C20" s="177" t="inlineStr">
        <is>
          <t>✓</t>
        </is>
      </c>
      <c r="D20" s="177" t="inlineStr">
        <is>
          <t>✓</t>
        </is>
      </c>
      <c r="E20" s="178" t="inlineStr">
        <is>
          <t>—</t>
        </is>
      </c>
      <c r="F20" s="177" t="inlineStr">
        <is>
          <t>✓</t>
        </is>
      </c>
      <c r="G20" s="175" t="n"/>
    </row>
    <row r="21">
      <c r="A21" s="169" t="inlineStr">
        <is>
          <t>Incident Timeline</t>
        </is>
      </c>
      <c r="B21" s="176" t="inlineStr">
        <is>
          <t>✓</t>
        </is>
      </c>
      <c r="C21" s="176" t="inlineStr">
        <is>
          <t>✓</t>
        </is>
      </c>
      <c r="D21" s="176" t="inlineStr">
        <is>
          <t>✓</t>
        </is>
      </c>
      <c r="E21" s="176" t="inlineStr">
        <is>
          <t>✓</t>
        </is>
      </c>
      <c r="F21" s="176" t="inlineStr">
        <is>
          <t>✓</t>
        </is>
      </c>
      <c r="G21" s="171" t="inlineStr">
        <is>
          <t>Auto-built on every incident</t>
        </is>
      </c>
    </row>
    <row r="22">
      <c r="A22" s="173" t="inlineStr">
        <is>
          <t>AI Incident Summary</t>
        </is>
      </c>
      <c r="B22" s="180" t="inlineStr">
        <is>
          <t>Add-on</t>
        </is>
      </c>
      <c r="C22" s="180" t="inlineStr">
        <is>
          <t>Add-on</t>
        </is>
      </c>
      <c r="D22" s="180" t="inlineStr">
        <is>
          <t>Add-on</t>
        </is>
      </c>
      <c r="E22" s="180" t="inlineStr">
        <is>
          <t>Add-on</t>
        </is>
      </c>
      <c r="F22" s="180" t="inlineStr">
        <is>
          <t>Add-on</t>
        </is>
      </c>
      <c r="G22" s="175" t="inlineStr">
        <is>
          <t>All verticals — Cortex AI</t>
        </is>
      </c>
    </row>
    <row r="23">
      <c r="A23" s="169" t="inlineStr">
        <is>
          <t>NexIQ Vision™ (cameras + AI)</t>
        </is>
      </c>
      <c r="B23" s="181" t="inlineStr">
        <is>
          <t>Add-on</t>
        </is>
      </c>
      <c r="C23" s="181" t="inlineStr">
        <is>
          <t>Add-on</t>
        </is>
      </c>
      <c r="D23" s="181" t="inlineStr">
        <is>
          <t>Add-on</t>
        </is>
      </c>
      <c r="E23" s="179" t="inlineStr">
        <is>
          <t>—</t>
        </is>
      </c>
      <c r="F23" s="181" t="inlineStr">
        <is>
          <t>Add-on</t>
        </is>
      </c>
      <c r="G23" s="171" t="inlineStr">
        <is>
          <t>Add-on all · Wyze live · AI transcripts</t>
        </is>
      </c>
    </row>
    <row r="24">
      <c r="A24" s="173" t="inlineStr">
        <is>
          <t>Agency Share Feature</t>
        </is>
      </c>
      <c r="B24" s="180" t="inlineStr">
        <is>
          <t>Add-on</t>
        </is>
      </c>
      <c r="C24" s="180" t="inlineStr">
        <is>
          <t>Add-on</t>
        </is>
      </c>
      <c r="D24" s="178" t="inlineStr">
        <is>
          <t>—</t>
        </is>
      </c>
      <c r="E24" s="180" t="inlineStr">
        <is>
          <t>Add-on</t>
        </is>
      </c>
      <c r="F24" s="178" t="inlineStr">
        <is>
          <t>—</t>
        </is>
      </c>
      <c r="G24" s="175" t="inlineStr">
        <is>
          <t>$1,500/mo — feature, not product</t>
        </is>
      </c>
    </row>
    <row r="25">
      <c r="A25" s="169" t="inlineStr">
        <is>
          <t>CAD Integration</t>
        </is>
      </c>
      <c r="B25" s="176" t="inlineStr">
        <is>
          <t>✓</t>
        </is>
      </c>
      <c r="C25" s="179" t="inlineStr">
        <is>
          <t>—</t>
        </is>
      </c>
      <c r="D25" s="179" t="inlineStr">
        <is>
          <t>—</t>
        </is>
      </c>
      <c r="E25" s="179" t="inlineStr">
        <is>
          <t>—</t>
        </is>
      </c>
      <c r="F25" s="179" t="inlineStr">
        <is>
          <t>—</t>
        </is>
      </c>
      <c r="G25" s="171" t="inlineStr">
        <is>
          <t>911 only</t>
        </is>
      </c>
    </row>
    <row r="26">
      <c r="A26" s="173" t="inlineStr">
        <is>
          <t>Clery Documentation</t>
        </is>
      </c>
      <c r="B26" s="178" t="inlineStr">
        <is>
          <t>—</t>
        </is>
      </c>
      <c r="C26" s="177" t="inlineStr">
        <is>
          <t>✓</t>
        </is>
      </c>
      <c r="D26" s="178" t="inlineStr">
        <is>
          <t>—</t>
        </is>
      </c>
      <c r="E26" s="178" t="inlineStr">
        <is>
          <t>—</t>
        </is>
      </c>
      <c r="F26" s="178" t="inlineStr">
        <is>
          <t>—</t>
        </is>
      </c>
      <c r="G26" s="175" t="inlineStr">
        <is>
          <t>Campus only</t>
        </is>
      </c>
    </row>
    <row r="27">
      <c r="A27" s="169" t="inlineStr">
        <is>
          <t>Pre-Alert / MCI Module</t>
        </is>
      </c>
      <c r="B27" s="179" t="inlineStr">
        <is>
          <t>—</t>
        </is>
      </c>
      <c r="C27" s="179" t="inlineStr">
        <is>
          <t>—</t>
        </is>
      </c>
      <c r="D27" s="179" t="inlineStr">
        <is>
          <t>—</t>
        </is>
      </c>
      <c r="E27" s="176" t="inlineStr">
        <is>
          <t>✓</t>
        </is>
      </c>
      <c r="F27" s="179" t="inlineStr">
        <is>
          <t>—</t>
        </is>
      </c>
      <c r="G27" s="171" t="inlineStr">
        <is>
          <t>Hospital only</t>
        </is>
      </c>
    </row>
    <row r="28">
      <c r="A28" s="173" t="inlineStr">
        <is>
          <t>Smart Escalation Engine</t>
        </is>
      </c>
      <c r="B28" s="177" t="inlineStr">
        <is>
          <t>✓</t>
        </is>
      </c>
      <c r="C28" s="177" t="inlineStr">
        <is>
          <t>✓</t>
        </is>
      </c>
      <c r="D28" s="177" t="inlineStr">
        <is>
          <t>✓</t>
        </is>
      </c>
      <c r="E28" s="177" t="inlineStr">
        <is>
          <t>✓</t>
        </is>
      </c>
      <c r="F28" s="177" t="inlineStr">
        <is>
          <t>✓</t>
        </is>
      </c>
      <c r="G28" s="175" t="inlineStr">
        <is>
          <t>Configurable per agency</t>
        </is>
      </c>
    </row>
    <row r="29">
      <c r="A29" s="169" t="inlineStr">
        <is>
          <t>SMS Location Acquisition</t>
        </is>
      </c>
      <c r="B29" s="181" t="inlineStr">
        <is>
          <t>Add-on</t>
        </is>
      </c>
      <c r="C29" s="181" t="inlineStr">
        <is>
          <t>Add-on</t>
        </is>
      </c>
      <c r="D29" s="181" t="inlineStr">
        <is>
          <t>Add-on</t>
        </is>
      </c>
      <c r="E29" s="179" t="inlineStr">
        <is>
          <t>—</t>
        </is>
      </c>
      <c r="F29" s="181" t="inlineStr">
        <is>
          <t>Add-on</t>
        </is>
      </c>
      <c r="G29" s="171" t="inlineStr">
        <is>
          <t>Auto-reply GPS link on SMS intake</t>
        </is>
      </c>
    </row>
    <row r="30">
      <c r="A30" s="173" t="inlineStr">
        <is>
          <t>Role-Based Dashboard Colors</t>
        </is>
      </c>
      <c r="B30" s="177" t="inlineStr">
        <is>
          <t>✓</t>
        </is>
      </c>
      <c r="C30" s="177" t="inlineStr">
        <is>
          <t>✓</t>
        </is>
      </c>
      <c r="D30" s="177" t="inlineStr">
        <is>
          <t>✓</t>
        </is>
      </c>
      <c r="E30" s="177" t="inlineStr">
        <is>
          <t>✓</t>
        </is>
      </c>
      <c r="F30" s="177" t="inlineStr">
        <is>
          <t>✓</t>
        </is>
      </c>
      <c r="G30" s="175" t="inlineStr">
        <is>
          <t>Distinct band color per vertical</t>
        </is>
      </c>
    </row>
    <row r="31">
      <c r="A31" s="182" t="inlineStr">
        <is>
          <t>iQ Reporting</t>
        </is>
      </c>
      <c r="B31" s="182" t="inlineStr">
        <is>
          <t>Limited</t>
        </is>
      </c>
      <c r="C31" s="183" t="inlineStr">
        <is>
          <t>✓</t>
        </is>
      </c>
      <c r="D31" s="183" t="inlineStr">
        <is>
          <t>✓</t>
        </is>
      </c>
      <c r="E31" s="183" t="inlineStr">
        <is>
          <t>✓</t>
        </is>
      </c>
      <c r="F31" s="183" t="inlineStr">
        <is>
          <t>✓</t>
        </is>
      </c>
      <c r="G31" s="182" t="inlineStr">
        <is>
          <t>Supervisor/admin only — never dispatcher</t>
        </is>
      </c>
    </row>
    <row r="32">
      <c r="A32" s="182" t="inlineStr">
        <is>
          <t>Incident Context Cards</t>
        </is>
      </c>
      <c r="B32" s="183" t="inlineStr">
        <is>
          <t>✓</t>
        </is>
      </c>
      <c r="C32" s="183" t="inlineStr">
        <is>
          <t>✓</t>
        </is>
      </c>
      <c r="D32" s="183" t="inlineStr">
        <is>
          <t>✓</t>
        </is>
      </c>
      <c r="E32" s="183" t="inlineStr">
        <is>
          <t>✓</t>
        </is>
      </c>
      <c r="F32" s="183" t="inlineStr">
        <is>
          <t>✓</t>
        </is>
      </c>
      <c r="G32" s="182" t="inlineStr">
        <is>
          <t>Included all plans</t>
        </is>
      </c>
    </row>
    <row r="33">
      <c r="A33" s="182" t="inlineStr">
        <is>
          <t>Command Intelligence</t>
        </is>
      </c>
      <c r="B33" s="182" t="inlineStr">
        <is>
          <t>Add-on</t>
        </is>
      </c>
      <c r="C33" s="182" t="inlineStr">
        <is>
          <t>Add-on</t>
        </is>
      </c>
      <c r="D33" s="182" t="inlineStr">
        <is>
          <t>Add-on</t>
        </is>
      </c>
      <c r="E33" s="182" t="inlineStr">
        <is>
          <t>Add-on</t>
        </is>
      </c>
      <c r="F33" s="182" t="inlineStr">
        <is>
          <t>Add-on</t>
        </is>
      </c>
      <c r="G33" s="182" t="inlineStr">
        <is>
          <t>$1,500/mo Professional+</t>
        </is>
      </c>
    </row>
    <row r="34">
      <c r="A34" s="182" t="inlineStr">
        <is>
          <t>NexiQ Vault</t>
        </is>
      </c>
      <c r="B34" s="182" t="inlineStr">
        <is>
          <t>Add-on</t>
        </is>
      </c>
      <c r="C34" s="182" t="inlineStr">
        <is>
          <t>Add-on</t>
        </is>
      </c>
      <c r="D34" s="182" t="inlineStr">
        <is>
          <t>—</t>
        </is>
      </c>
      <c r="E34" s="182" t="inlineStr">
        <is>
          <t>—</t>
        </is>
      </c>
      <c r="F34" s="182" t="inlineStr">
        <is>
          <t>—</t>
        </is>
      </c>
      <c r="G34" s="182" t="inlineStr">
        <is>
          <t>$1,200/mo Command+ · CAD archive</t>
        </is>
      </c>
    </row>
    <row r="35">
      <c r="A35" s="182" t="inlineStr">
        <is>
          <t>Call Assist (non-emergency)</t>
        </is>
      </c>
      <c r="B35" s="182" t="inlineStr">
        <is>
          <t>Add-on</t>
        </is>
      </c>
      <c r="C35" s="182" t="inlineStr">
        <is>
          <t>Add-on</t>
        </is>
      </c>
      <c r="D35" s="182" t="inlineStr">
        <is>
          <t>Add-on</t>
        </is>
      </c>
      <c r="E35" s="182" t="inlineStr">
        <is>
          <t>—</t>
        </is>
      </c>
      <c r="F35" s="182" t="inlineStr">
        <is>
          <t>Add-on</t>
        </is>
      </c>
      <c r="G35" s="182" t="inlineStr">
        <is>
          <t>$4,500/mo · never 911 console</t>
        </is>
      </c>
    </row>
    <row r="36">
      <c r="A36" s="182" t="inlineStr">
        <is>
          <t>CAD-to-CAD mesh</t>
        </is>
      </c>
      <c r="B36" s="182" t="inlineStr">
        <is>
          <t>Add-on</t>
        </is>
      </c>
      <c r="C36" s="182" t="inlineStr">
        <is>
          <t>—</t>
        </is>
      </c>
      <c r="D36" s="182" t="inlineStr">
        <is>
          <t>—</t>
        </is>
      </c>
      <c r="E36" s="182" t="inlineStr">
        <is>
          <t>—</t>
        </is>
      </c>
      <c r="F36" s="182" t="inlineStr">
        <is>
          <t>—</t>
        </is>
      </c>
      <c r="G36" s="182" t="inlineStr">
        <is>
          <t>$3,500/mo · never free</t>
        </is>
      </c>
    </row>
    <row r="37">
      <c r="A37" s="182" t="inlineStr">
        <is>
          <t>NexCort Translate (ops)</t>
        </is>
      </c>
      <c r="B37" s="182" t="inlineStr">
        <is>
          <t>Add-on</t>
        </is>
      </c>
      <c r="C37" s="182" t="inlineStr">
        <is>
          <t>Add-on</t>
        </is>
      </c>
      <c r="D37" s="182" t="inlineStr">
        <is>
          <t>Add-on</t>
        </is>
      </c>
      <c r="E37" s="182" t="inlineStr">
        <is>
          <t>Add-on</t>
        </is>
      </c>
      <c r="F37" s="182" t="inlineStr">
        <is>
          <t>Add-on</t>
        </is>
      </c>
      <c r="G37" s="182" t="inlineStr">
        <is>
          <t>Field/venue/campus/clinical</t>
        </is>
      </c>
    </row>
    <row r="38">
      <c r="A38" s="182" t="inlineStr">
        <is>
          <t>NG911 Assist</t>
        </is>
      </c>
      <c r="B38" s="182" t="inlineStr">
        <is>
          <t>Add-on</t>
        </is>
      </c>
      <c r="C38" s="182" t="inlineStr">
        <is>
          <t>—</t>
        </is>
      </c>
      <c r="D38" s="182" t="inlineStr">
        <is>
          <t>—</t>
        </is>
      </c>
      <c r="E38" s="182" t="inlineStr">
        <is>
          <t>—</t>
        </is>
      </c>
      <c r="F38" s="182" t="inlineStr">
        <is>
          <t>—</t>
        </is>
      </c>
      <c r="G38" s="182" t="inlineStr">
        <is>
          <t>Discovery-scoped · no list SKU</t>
        </is>
      </c>
    </row>
    <row r="39">
      <c r="A39" s="182" t="inlineStr">
        <is>
          <t>Emergency Alert Broadcast</t>
        </is>
      </c>
      <c r="B39" s="182" t="inlineStr">
        <is>
          <t>—</t>
        </is>
      </c>
      <c r="C39" s="182" t="inlineStr">
        <is>
          <t>Add-on</t>
        </is>
      </c>
      <c r="D39" s="182" t="inlineStr">
        <is>
          <t>Add-on</t>
        </is>
      </c>
      <c r="E39" s="182" t="inlineStr">
        <is>
          <t>—</t>
        </is>
      </c>
      <c r="F39" s="182" t="inlineStr">
        <is>
          <t>Add-on</t>
        </is>
      </c>
      <c r="G39" s="182" t="inlineStr">
        <is>
          <t>$1,500/mo + short-code pass-through</t>
        </is>
      </c>
    </row>
    <row r="40">
      <c r="A40" s="182" t="inlineStr">
        <is>
          <t>Response Continuity (RCS)</t>
        </is>
      </c>
      <c r="B40" s="182" t="inlineStr">
        <is>
          <t>Add-on</t>
        </is>
      </c>
      <c r="C40" s="182" t="inlineStr">
        <is>
          <t>Add-on</t>
        </is>
      </c>
      <c r="D40" s="182" t="inlineStr">
        <is>
          <t>Add-on</t>
        </is>
      </c>
      <c r="E40" s="182" t="inlineStr">
        <is>
          <t>Add-on</t>
        </is>
      </c>
      <c r="F40" s="182" t="inlineStr">
        <is>
          <t>Add-on</t>
        </is>
      </c>
      <c r="G40" s="182" t="inlineStr">
        <is>
          <t>$3,500/mo Professional+</t>
        </is>
      </c>
    </row>
    <row r="41">
      <c r="A41" s="182" t="inlineStr">
        <is>
          <t>Venue Guest Services console</t>
        </is>
      </c>
      <c r="B41" s="182" t="inlineStr">
        <is>
          <t>—</t>
        </is>
      </c>
      <c r="C41" s="182" t="inlineStr">
        <is>
          <t>—</t>
        </is>
      </c>
      <c r="D41" s="183" t="inlineStr">
        <is>
          <t>✓</t>
        </is>
      </c>
      <c r="E41" s="182" t="inlineStr">
        <is>
          <t>—</t>
        </is>
      </c>
      <c r="F41" s="182" t="inlineStr">
        <is>
          <t>—</t>
        </is>
      </c>
      <c r="G41" s="182" t="inlineStr">
        <is>
          <t>Not a 911 dispatch system</t>
        </is>
      </c>
    </row>
    <row r="43">
      <c r="A43" s="117" t="inlineStr">
        <is>
          <t xml:space="preserve">  IMPLEMENTATION FEES BY VERTICAL</t>
        </is>
      </c>
    </row>
    <row r="44">
      <c r="A44" s="167" t="inlineStr">
        <is>
          <t>Vertical</t>
        </is>
      </c>
      <c r="B44" s="167" t="inlineStr">
        <is>
          <t>Smallest</t>
        </is>
      </c>
      <c r="C44" s="167" t="inlineStr">
        <is>
          <t>Largest</t>
        </is>
      </c>
      <c r="D44" s="167" t="inlineStr">
        <is>
          <t>Notes</t>
        </is>
      </c>
      <c r="E44" s="167" t="n"/>
      <c r="F44" s="167" t="n"/>
      <c r="G44" s="167" t="n"/>
    </row>
    <row r="45">
      <c r="A45" s="168" t="inlineStr">
        <is>
          <t>RC 911</t>
        </is>
      </c>
      <c r="B45" s="170" t="inlineStr">
        <is>
          <t>$10,000</t>
        </is>
      </c>
      <c r="C45" s="170" t="inlineStr">
        <is>
          <t>$150,000</t>
        </is>
      </c>
      <c r="D45" s="171" t="inlineStr">
        <is>
          <t>Essential → Command range</t>
        </is>
      </c>
      <c r="E45" s="169" t="n"/>
      <c r="F45" s="169" t="n"/>
      <c r="G45" s="169" t="n"/>
    </row>
    <row r="46">
      <c r="A46" s="172" t="inlineStr">
        <is>
          <t>RC Campus</t>
        </is>
      </c>
      <c r="B46" s="174" t="inlineStr">
        <is>
          <t>$8,000</t>
        </is>
      </c>
      <c r="C46" s="174" t="inlineStr">
        <is>
          <t>$35,000</t>
        </is>
      </c>
      <c r="D46" s="175" t="inlineStr">
        <is>
          <t>By enrollment size</t>
        </is>
      </c>
      <c r="E46" s="173" t="n"/>
      <c r="F46" s="173" t="n"/>
      <c r="G46" s="173" t="n"/>
    </row>
    <row r="47">
      <c r="A47" s="168" t="inlineStr">
        <is>
          <t>RC Venue</t>
        </is>
      </c>
      <c r="B47" s="170" t="inlineStr">
        <is>
          <t>$10,000</t>
        </is>
      </c>
      <c r="C47" s="170" t="inlineStr">
        <is>
          <t>$40,000</t>
        </is>
      </c>
      <c r="D47" s="171" t="inlineStr">
        <is>
          <t>By capacity tier</t>
        </is>
      </c>
      <c r="E47" s="169" t="n"/>
      <c r="F47" s="169" t="n"/>
      <c r="G47" s="169" t="n"/>
    </row>
    <row r="48">
      <c r="A48" s="172" t="inlineStr">
        <is>
          <t>RC Hospital</t>
        </is>
      </c>
      <c r="B48" s="174" t="inlineStr">
        <is>
          <t>$10,000</t>
        </is>
      </c>
      <c r="C48" s="174" t="inlineStr">
        <is>
          <t>$45,000</t>
        </is>
      </c>
      <c r="D48" s="175" t="inlineStr">
        <is>
          <t>By facility tier</t>
        </is>
      </c>
      <c r="E48" s="173" t="n"/>
      <c r="F48" s="173" t="n"/>
      <c r="G48" s="173" t="n"/>
    </row>
    <row r="49">
      <c r="A49" s="168" t="inlineStr">
        <is>
          <t>RC Transit</t>
        </is>
      </c>
      <c r="B49" s="170" t="inlineStr">
        <is>
          <t>$10,000</t>
        </is>
      </c>
      <c r="C49" s="170" t="inlineStr">
        <is>
          <t>$45,000</t>
        </is>
      </c>
      <c r="D49" s="171" t="inlineStr">
        <is>
          <t>By fleet tier</t>
        </is>
      </c>
      <c r="E49" s="169" t="n"/>
      <c r="F49" s="169" t="n"/>
      <c r="G49" s="169" t="n"/>
    </row>
    <row r="51">
      <c r="A51" s="118" t="inlineStr">
        <is>
          <t>⚠  INTERNAL USE ONLY — Overview only. See individual vertical sheets for complete pricing.</t>
        </is>
      </c>
    </row>
  </sheetData>
  <mergeCells count="7">
    <mergeCell ref="A13:G13"/>
    <mergeCell ref="A1:G1"/>
    <mergeCell ref="A3:G3"/>
    <mergeCell ref="A2:G2"/>
    <mergeCell ref="A43:G43"/>
    <mergeCell ref="A51:G51"/>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D113"/>
  <sheetViews>
    <sheetView topLeftCell="A90" zoomScaleNormal="100" workbookViewId="0">
      <selection activeCell="A113" sqref="A113:D113"/>
    </sheetView>
  </sheetViews>
  <sheetFormatPr baseColWidth="10" defaultColWidth="8.6640625" defaultRowHeight="15"/>
  <cols>
    <col width="38" bestFit="1" customWidth="1" style="164" min="1" max="1"/>
    <col width="57" bestFit="1" customWidth="1" style="164" min="2" max="2"/>
    <col width="13.33203125" bestFit="1" customWidth="1" style="164" min="3" max="3"/>
    <col width="60.1640625" bestFit="1" customWidth="1" style="164" min="4" max="4"/>
    <col width="8.6640625" customWidth="1" style="164" min="5" max="16384"/>
  </cols>
  <sheetData>
    <row r="1">
      <c r="A1" s="162" t="inlineStr">
        <is>
          <t>NEXCORT IQ — INTERNAL PRICING GUIDE</t>
        </is>
      </c>
    </row>
    <row r="2" ht="18" customHeight="1" s="164">
      <c r="A2" s="165" t="inlineStr">
        <is>
          <t>FEATURE ADD-ONS</t>
        </is>
      </c>
    </row>
    <row r="3">
      <c r="A3" s="166" t="inlineStr">
        <is>
          <t>QR &amp; NFC · Agency Share · NexIQ Vision™ · Call Assist · iQ Reporting · Command Intelligence · Vault · RCS · CAD Mesh · Translate · NG911 Assist</t>
        </is>
      </c>
    </row>
    <row r="5">
      <c r="A5" s="117" t="inlineStr">
        <is>
          <t xml:space="preserve">  QR &amp; NFC CODE MANAGEMENT</t>
        </is>
      </c>
    </row>
    <row r="6">
      <c r="A6" s="184" t="inlineStr">
        <is>
          <t xml:space="preserve">  Generates unique reporting URLs per location. QR codes print on signs. NFC tags stick to the back of the same sign. Both open the same intake form — no app download required.</t>
        </is>
      </c>
    </row>
    <row r="7">
      <c r="A7" s="167" t="inlineStr">
        <is>
          <t>Plan / Vertical</t>
        </is>
      </c>
      <c r="B7" s="167" t="inlineStr">
        <is>
          <t>QR &amp; NFC Included?</t>
        </is>
      </c>
      <c r="C7" s="167" t="inlineStr">
        <is>
          <t>Monthly Add-On</t>
        </is>
      </c>
      <c r="D7" s="167" t="inlineStr">
        <is>
          <t>Notes</t>
        </is>
      </c>
    </row>
    <row r="8">
      <c r="A8" s="169" t="inlineStr">
        <is>
          <t>RC 911 — Essential</t>
        </is>
      </c>
      <c r="B8" s="181" t="inlineStr">
        <is>
          <t>Not included</t>
        </is>
      </c>
      <c r="C8" s="170" t="inlineStr">
        <is>
          <t>$500 – $1,500</t>
        </is>
      </c>
      <c r="D8" s="171" t="inlineStr">
        <is>
          <t>Add-on — generates QR codes for field deployment</t>
        </is>
      </c>
    </row>
    <row r="9">
      <c r="A9" s="173" t="inlineStr">
        <is>
          <t>RC 911 — Professional+</t>
        </is>
      </c>
      <c r="B9" s="177" t="inlineStr">
        <is>
          <t>Included</t>
        </is>
      </c>
      <c r="C9" s="174" t="inlineStr">
        <is>
          <t>—</t>
        </is>
      </c>
      <c r="D9" s="175" t="inlineStr">
        <is>
          <t>Included in base plan</t>
        </is>
      </c>
    </row>
    <row r="10">
      <c r="A10" s="169" t="inlineStr">
        <is>
          <t>RC 911 — Command+</t>
        </is>
      </c>
      <c r="B10" s="176" t="inlineStr">
        <is>
          <t>Included</t>
        </is>
      </c>
      <c r="C10" s="170" t="inlineStr">
        <is>
          <t>—</t>
        </is>
      </c>
      <c r="D10" s="171" t="inlineStr">
        <is>
          <t>Included in base plan</t>
        </is>
      </c>
    </row>
    <row r="11">
      <c r="A11" s="173" t="inlineStr">
        <is>
          <t>RC Campus — All tiers</t>
        </is>
      </c>
      <c r="B11" s="177" t="inlineStr">
        <is>
          <t>Included</t>
        </is>
      </c>
      <c r="C11" s="174" t="inlineStr">
        <is>
          <t>—</t>
        </is>
      </c>
      <c r="D11" s="175" t="inlineStr">
        <is>
          <t>Standard zones included · extended zones add-on</t>
        </is>
      </c>
    </row>
    <row r="12">
      <c r="A12" s="169" t="inlineStr">
        <is>
          <t>RC Venue — All tiers</t>
        </is>
      </c>
      <c r="B12" s="176" t="inlineStr">
        <is>
          <t>Included</t>
        </is>
      </c>
      <c r="C12" s="170" t="inlineStr">
        <is>
          <t>—</t>
        </is>
      </c>
      <c r="D12" s="171" t="inlineStr">
        <is>
          <t>Section/gate zones included</t>
        </is>
      </c>
    </row>
    <row r="13">
      <c r="A13" s="173" t="inlineStr">
        <is>
          <t>RC Hospital — All tiers</t>
        </is>
      </c>
      <c r="B13" s="185" t="inlineStr">
        <is>
          <t>Limited</t>
        </is>
      </c>
      <c r="C13" s="174" t="inlineStr">
        <is>
          <t>$500 – $1,500</t>
        </is>
      </c>
      <c r="D13" s="175" t="inlineStr">
        <is>
          <t>Staff-facing only — internal reporting</t>
        </is>
      </c>
    </row>
    <row r="14">
      <c r="A14" s="169" t="inlineStr">
        <is>
          <t>RC Transit — All tiers</t>
        </is>
      </c>
      <c r="B14" s="176" t="inlineStr">
        <is>
          <t>Included</t>
        </is>
      </c>
      <c r="C14" s="170" t="inlineStr">
        <is>
          <t>—</t>
        </is>
      </c>
      <c r="D14" s="171" t="inlineStr">
        <is>
          <t>Vehicle + station QR/NFC included</t>
        </is>
      </c>
    </row>
    <row r="16">
      <c r="A16" s="167" t="inlineStr">
        <is>
          <t>Capability</t>
        </is>
      </c>
      <c r="B16" s="167" t="inlineStr">
        <is>
          <t>Detail</t>
        </is>
      </c>
      <c r="C16" s="167" t="n"/>
      <c r="D16" s="167" t="n"/>
    </row>
    <row r="17">
      <c r="A17" s="168" t="inlineStr">
        <is>
          <t>URL generation</t>
        </is>
      </c>
      <c r="B17" s="171" t="inlineStr">
        <is>
          <t>Unique per location · encoded with agency, zone, vertical</t>
        </is>
      </c>
      <c r="C17" s="169" t="n"/>
      <c r="D17" s="169" t="n"/>
    </row>
    <row r="18">
      <c r="A18" s="172" t="inlineStr">
        <is>
          <t>QR code image</t>
        </is>
      </c>
      <c r="B18" s="175" t="inlineStr">
        <is>
          <t>PNG download · 400×400px · vertical-branded colors</t>
        </is>
      </c>
      <c r="C18" s="173" t="n"/>
      <c r="D18" s="173" t="n"/>
    </row>
    <row r="19">
      <c r="A19" s="168" t="inlineStr">
        <is>
          <t>NFC URL</t>
        </is>
      </c>
      <c r="B19" s="171" t="inlineStr">
        <is>
          <t>Copy-to-clipboard · same URL as QR · program with NFC Tools app (free)</t>
        </is>
      </c>
      <c r="C19" s="169" t="n"/>
      <c r="D19" s="169" t="n"/>
    </row>
    <row r="20">
      <c r="A20" s="172" t="inlineStr">
        <is>
          <t>Scan tracking</t>
        </is>
      </c>
      <c r="B20" s="175" t="inlineStr">
        <is>
          <t>QR scan count and NFC tap count tracked separately per code</t>
        </is>
      </c>
      <c r="C20" s="173" t="n"/>
      <c r="D20" s="173" t="n"/>
    </row>
    <row r="21">
      <c r="A21" s="168" t="inlineStr">
        <is>
          <t>Deactivation</t>
        </is>
      </c>
      <c r="B21" s="171" t="inlineStr">
        <is>
          <t>Soft deactivate — scans redirect to inactive page · audit trail preserved</t>
        </is>
      </c>
      <c r="C21" s="169" t="n"/>
      <c r="D21" s="169" t="n"/>
    </row>
    <row r="22">
      <c r="A22" s="172" t="inlineStr">
        <is>
          <t>Admin access</t>
        </is>
      </c>
      <c r="B22" s="175" t="inlineStr">
        <is>
          <t>RC platform roles can create for any agency · agency roles scoped to own agency</t>
        </is>
      </c>
      <c r="C22" s="173" t="n"/>
      <c r="D22" s="173" t="n"/>
    </row>
    <row r="23">
      <c r="A23" s="168" t="inlineStr">
        <is>
          <t>Public intake page</t>
        </is>
      </c>
      <c r="B23" s="171" t="inlineStr">
        <is>
          <t>No login · no app · works on any smartphone · vertical-skinned form</t>
        </is>
      </c>
      <c r="C23" s="169" t="n"/>
      <c r="D23" s="169" t="n"/>
    </row>
    <row r="24">
      <c r="A24" s="172" t="inlineStr">
        <is>
          <t>Multiple sign channels</t>
        </is>
      </c>
      <c r="B24" s="175" t="inlineStr">
        <is>
          <t>Same code = QR on front + NFC on back + SMS number on sign</t>
        </is>
      </c>
      <c r="C24" s="173" t="n"/>
      <c r="D24" s="173" t="n"/>
    </row>
    <row r="27">
      <c r="A27" s="117" t="inlineStr">
        <is>
          <t xml:space="preserve">  AGENCY SHARE — FEATURE (not a separate product)</t>
        </is>
      </c>
    </row>
    <row r="28">
      <c r="A28" s="184" t="inlineStr">
        <is>
          <t xml:space="preserve">  Agency Share enables controlled, consent-based incident awareness between partner agencies. It is a feature of the NexCort iQ platform — not a standalone product. Agencies must establish a partnership agreement before data sharing is enabled.</t>
        </is>
      </c>
    </row>
    <row r="29">
      <c r="A29" s="167" t="inlineStr">
        <is>
          <t>Item</t>
        </is>
      </c>
      <c r="B29" s="167" t="inlineStr">
        <is>
          <t>Detail</t>
        </is>
      </c>
      <c r="C29" s="167" t="inlineStr">
        <is>
          <t>Price</t>
        </is>
      </c>
      <c r="D29" s="167" t="inlineStr">
        <is>
          <t>Notes</t>
        </is>
      </c>
    </row>
    <row r="30">
      <c r="A30" s="168" t="inlineStr">
        <is>
          <t>Monthly Fee</t>
        </is>
      </c>
      <c r="B30" s="169" t="inlineStr">
        <is>
          <t>Per agency, per month</t>
        </is>
      </c>
      <c r="C30" s="170" t="inlineStr">
        <is>
          <t>$1,500/mo</t>
        </is>
      </c>
      <c r="D30" s="171" t="inlineStr">
        <is>
          <t>Each agency in the partnership pays separately</t>
        </is>
      </c>
    </row>
    <row r="31">
      <c r="A31" s="172" t="inlineStr">
        <is>
          <t>Access Levels</t>
        </is>
      </c>
      <c r="B31" s="173" t="inlineStr">
        <is>
          <t>Observe (read-only) · Collaborate (comment)</t>
        </is>
      </c>
      <c r="C31" s="174" t="inlineStr">
        <is>
          <t>—</t>
        </is>
      </c>
      <c r="D31" s="175" t="inlineStr">
        <is>
          <t>Set per partnership agreement</t>
        </is>
      </c>
    </row>
    <row r="32">
      <c r="A32" s="168" t="inlineStr">
        <is>
          <t>Scope</t>
        </is>
      </c>
      <c r="B32" s="169" t="inlineStr">
        <is>
          <t>Configurable per incident type or All</t>
        </is>
      </c>
      <c r="C32" s="170" t="inlineStr">
        <is>
          <t>—</t>
        </is>
      </c>
      <c r="D32" s="171" t="inlineStr">
        <is>
          <t>e.g., share only CRITICAL incidents</t>
        </is>
      </c>
    </row>
    <row r="33">
      <c r="A33" s="172" t="inlineStr">
        <is>
          <t>Partnership approval</t>
        </is>
      </c>
      <c r="B33" s="173" t="inlineStr">
        <is>
          <t>Both agency admins must approve</t>
        </is>
      </c>
      <c r="C33" s="174" t="inlineStr">
        <is>
          <t>—</t>
        </is>
      </c>
      <c r="D33" s="175" t="inlineStr">
        <is>
          <t>Audited — no unilateral cross-agency access</t>
        </is>
      </c>
    </row>
    <row r="34">
      <c r="A34" s="168" t="inlineStr">
        <is>
          <t>Expiry</t>
        </is>
      </c>
      <c r="B34" s="169" t="inlineStr">
        <is>
          <t>Optional expiration date per partnership</t>
        </is>
      </c>
      <c r="C34" s="170" t="inlineStr">
        <is>
          <t>—</t>
        </is>
      </c>
      <c r="D34" s="171" t="inlineStr">
        <is>
          <t>Auto-revokes at expiry</t>
        </is>
      </c>
    </row>
    <row r="35">
      <c r="A35" s="172" t="inlineStr">
        <is>
          <t>Availability</t>
        </is>
      </c>
      <c r="B35" s="173" t="inlineStr">
        <is>
          <t>RC 911 · RC Campus · RC Hospital</t>
        </is>
      </c>
      <c r="C35" s="174" t="inlineStr">
        <is>
          <t>—</t>
        </is>
      </c>
      <c r="D35" s="175" t="inlineStr">
        <is>
          <t>Not available for Venue or Transit</t>
        </is>
      </c>
    </row>
    <row r="36">
      <c r="A36" s="168" t="inlineStr">
        <is>
          <t>Admin UI</t>
        </is>
      </c>
      <c r="B36" s="169" t="inlineStr">
        <is>
          <t>Agency Partnership tab in NC Admin</t>
        </is>
      </c>
      <c r="C36" s="170" t="inlineStr">
        <is>
          <t>—</t>
        </is>
      </c>
      <c r="D36" s="171" t="inlineStr">
        <is>
          <t>Feature toggle — locked until partnership exists</t>
        </is>
      </c>
    </row>
    <row r="37">
      <c r="A37" s="172" t="inlineStr">
        <is>
          <t>Audit trail</t>
        </is>
      </c>
      <c r="B37" s="173" t="inlineStr">
        <is>
          <t>Every cross-agency read is logged</t>
        </is>
      </c>
      <c r="C37" s="174" t="inlineStr">
        <is>
          <t>—</t>
        </is>
      </c>
      <c r="D37" s="175" t="inlineStr">
        <is>
          <t>CJIS-aware · us-east-1 only</t>
        </is>
      </c>
    </row>
    <row r="40">
      <c r="A40" s="117" t="inlineStr">
        <is>
          <t xml:space="preserve">  NEXIQ VISION™ — CAMERA + SCENE INTELLIGENCE</t>
        </is>
      </c>
    </row>
    <row r="41">
      <c r="A41" s="184" t="inlineStr">
        <is>
          <t xml:space="preserve">  NexIQ Vision™ (formerly NexCort iQ Connect) links agency and citizen cameras to the live incident, with AI scene observations and vision transcripts for authorized roles. Human-in-the-loop — not autonomous enforcement.</t>
        </is>
      </c>
    </row>
    <row r="42">
      <c r="A42" s="167" t="inlineStr">
        <is>
          <t>Tier / Item</t>
        </is>
      </c>
      <c r="B42" s="167" t="inlineStr">
        <is>
          <t>Monthly Fee Low</t>
        </is>
      </c>
      <c r="C42" s="167" t="inlineStr">
        <is>
          <t>Monthly Fee High</t>
        </is>
      </c>
      <c r="D42" s="167" t="inlineStr">
        <is>
          <t>Notes</t>
        </is>
      </c>
    </row>
    <row r="43">
      <c r="A43" s="169" t="inlineStr">
        <is>
          <t>NexIQ Vision — Standard (up to 10 cameras)</t>
        </is>
      </c>
      <c r="B43" s="170" t="inlineStr">
        <is>
          <t>$500</t>
        </is>
      </c>
      <c r="C43" s="170" t="inlineStr">
        <is>
          <t>$1,500</t>
        </is>
      </c>
      <c r="D43" s="171" t="inlineStr">
        <is>
          <t>ONVIF/RTSP · link cameras to incidents · $500 list (addon-catalog)</t>
        </is>
      </c>
    </row>
    <row r="44">
      <c r="A44" s="173" t="inlineStr">
        <is>
          <t>NexIQ Vision — Professional (up to 50 cameras)</t>
        </is>
      </c>
      <c r="B44" s="174" t="inlineStr">
        <is>
          <t>$1,500</t>
        </is>
      </c>
      <c r="C44" s="174" t="inlineStr">
        <is>
          <t>$4,000</t>
        </is>
      </c>
      <c r="D44" s="175" t="inlineStr">
        <is>
          <t>Multi-zone · KVS streaming · $1,500 list</t>
        </is>
      </c>
    </row>
    <row r="45">
      <c r="A45" s="169" t="inlineStr">
        <is>
          <t>NexIQ Vision — Enterprise (unlimited cameras)</t>
        </is>
      </c>
      <c r="B45" s="170" t="inlineStr">
        <is>
          <t>$4,000</t>
        </is>
      </c>
      <c r="C45" s="170" t="inlineStr">
        <is>
          <t>$12,000</t>
        </is>
      </c>
      <c r="D45" s="171" t="inlineStr">
        <is>
          <t>Dedicated KVS · multi-site routing · $4,000 list</t>
        </is>
      </c>
    </row>
    <row r="46">
      <c r="A46" s="173" t="inlineStr">
        <is>
          <t>Citizen Camera Share</t>
        </is>
      </c>
      <c r="B46" s="174" t="inlineStr">
        <is>
          <t>$500</t>
        </is>
      </c>
      <c r="C46" s="174" t="inlineStr">
        <is>
          <t>$1,500</t>
        </is>
      </c>
      <c r="D46" s="175" t="inlineStr">
        <is>
          <t>Time-limited WebRTC share · one tap from SMS link</t>
        </is>
      </c>
    </row>
    <row r="47">
      <c r="A47" s="169" t="inlineStr">
        <is>
          <t>Ring Integration</t>
        </is>
      </c>
      <c r="B47" s="170" t="inlineStr">
        <is>
          <t>$500</t>
        </is>
      </c>
      <c r="C47" s="170" t="inlineStr">
        <is>
          <t>$2,000</t>
        </is>
      </c>
      <c r="D47" s="171" t="inlineStr">
        <is>
          <t>OAuth · residential/commercial Ring cameras (live)</t>
        </is>
      </c>
    </row>
    <row r="48">
      <c r="A48" s="173" t="inlineStr">
        <is>
          <t>Nest Integration</t>
        </is>
      </c>
      <c r="B48" s="174" t="inlineStr">
        <is>
          <t>$500</t>
        </is>
      </c>
      <c r="C48" s="174" t="inlineStr">
        <is>
          <t>$2,000</t>
        </is>
      </c>
      <c r="D48" s="175" t="inlineStr">
        <is>
          <t>OAuth · Nest Cam feeds (live)</t>
        </is>
      </c>
    </row>
    <row r="49">
      <c r="A49" s="169" t="inlineStr">
        <is>
          <t>Verkada Integration (Phase 3)</t>
        </is>
      </c>
      <c r="B49" s="170" t="inlineStr">
        <is>
          <t>$1,000</t>
        </is>
      </c>
      <c r="C49" s="170" t="inlineStr">
        <is>
          <t>$3,000</t>
        </is>
      </c>
      <c r="D49" s="171" t="inlineStr">
        <is>
          <t>Enterprise Verkada API</t>
        </is>
      </c>
    </row>
    <row r="50">
      <c r="A50" s="173" t="inlineStr">
        <is>
          <t>Eagle Eye Integration (Phase 3)</t>
        </is>
      </c>
      <c r="B50" s="174" t="inlineStr">
        <is>
          <t>$1,000</t>
        </is>
      </c>
      <c r="C50" s="174" t="inlineStr">
        <is>
          <t>$3,000</t>
        </is>
      </c>
      <c r="D50" s="175" t="inlineStr">
        <is>
          <t>Eagle Eye enterprise API</t>
        </is>
      </c>
    </row>
    <row r="51">
      <c r="A51" s="169" t="inlineStr">
        <is>
          <t>Camera Integration Setup</t>
        </is>
      </c>
      <c r="B51" s="170" t="inlineStr">
        <is>
          <t>$5,000</t>
        </is>
      </c>
      <c r="C51" s="170" t="inlineStr">
        <is>
          <t>$20,000</t>
        </is>
      </c>
      <c r="D51" s="171" t="inlineStr">
        <is>
          <t>One-time · per provider · includes RTSP bridge config</t>
        </is>
      </c>
    </row>
    <row r="52">
      <c r="A52" s="186" t="inlineStr">
        <is>
          <t>Wyze Integration</t>
        </is>
      </c>
      <c r="B52" s="187" t="inlineStr">
        <is>
          <t>$500</t>
        </is>
      </c>
      <c r="C52" s="187" t="inlineStr">
        <is>
          <t>$2,000</t>
        </is>
      </c>
      <c r="D52" s="186" t="inlineStr">
        <is>
          <t>Citizen Wyze share · time-limited live view</t>
        </is>
      </c>
    </row>
    <row r="54">
      <c r="A54" s="117" t="inlineStr">
        <is>
          <t xml:space="preserve">  SMS LOCATION ACQUISITION</t>
        </is>
      </c>
    </row>
    <row r="55">
      <c r="A55" s="184" t="inlineStr">
        <is>
          <t xml:space="preserve">  When a student or passenger texts the emergency number, the system auto-replies with a one-tap location link. Student taps → browser requests GPS → coordinates appear in the dispatcher console within 10 seconds.</t>
        </is>
      </c>
    </row>
    <row r="56">
      <c r="A56" s="167" t="inlineStr">
        <is>
          <t>Item</t>
        </is>
      </c>
      <c r="B56" s="167" t="inlineStr">
        <is>
          <t>Monthly Fee Low</t>
        </is>
      </c>
      <c r="C56" s="167" t="inlineStr">
        <is>
          <t>Monthly Fee High</t>
        </is>
      </c>
      <c r="D56" s="167" t="inlineStr">
        <is>
          <t>Notes</t>
        </is>
      </c>
    </row>
    <row r="57">
      <c r="A57" s="169" t="inlineStr">
        <is>
          <t>SMS Location Acquisition</t>
        </is>
      </c>
      <c r="B57" s="170" t="inlineStr">
        <is>
          <t>$500</t>
        </is>
      </c>
      <c r="C57" s="170" t="inlineStr">
        <is>
          <t>$2,000</t>
        </is>
      </c>
      <c r="D57" s="171" t="inlineStr">
        <is>
          <t>Auto-reply GPS link · tracks QR vs NFC vs SMS engagement</t>
        </is>
      </c>
    </row>
    <row r="58">
      <c r="A58" s="173" t="inlineStr">
        <is>
          <t>Location Analytics</t>
        </is>
      </c>
      <c r="B58" s="174" t="inlineStr">
        <is>
          <t>$500</t>
        </is>
      </c>
      <c r="C58" s="174" t="inlineStr">
        <is>
          <t>$1,500</t>
        </is>
      </c>
      <c r="D58" s="175" t="inlineStr">
        <is>
          <t>Location accuracy reporting · engagement funnel</t>
        </is>
      </c>
    </row>
    <row r="59">
      <c r="A59" s="169" t="inlineStr">
        <is>
          <t>Setup</t>
        </is>
      </c>
      <c r="B59" s="170" t="inlineStr">
        <is>
          <t>$2,500</t>
        </is>
      </c>
      <c r="C59" s="170" t="inlineStr">
        <is>
          <t>$5,000</t>
        </is>
      </c>
      <c r="D59" s="171" t="inlineStr">
        <is>
          <t>One-time · per agency</t>
        </is>
      </c>
    </row>
    <row r="61">
      <c r="A61" s="123" t="inlineStr">
        <is>
          <t xml:space="preserve">  IQ REPORTING — SUPERVISOR / ADMIN ANALYTICS</t>
        </is>
      </c>
    </row>
    <row r="62">
      <c r="A62" s="188" t="inlineStr">
        <is>
          <t xml:space="preserve">  Daily agency analytics for 911, campus, venue, transit, and hospital. Supervisor and agency-admin only — never dispatcher or front-line consoles. No dedicated catalog SKU yet; Essential add-on aligned to Command Intelligence list price.</t>
        </is>
      </c>
    </row>
    <row r="63">
      <c r="A63" s="189" t="inlineStr">
        <is>
          <t>Item</t>
        </is>
      </c>
      <c r="B63" s="189" t="inlineStr">
        <is>
          <t>Monthly Fee Low</t>
        </is>
      </c>
      <c r="C63" s="189" t="inlineStr">
        <is>
          <t>Monthly Fee High</t>
        </is>
      </c>
      <c r="D63" s="189" t="inlineStr">
        <is>
          <t>Notes</t>
        </is>
      </c>
    </row>
    <row r="64">
      <c r="A64" s="190" t="inlineStr">
        <is>
          <t>iQ Reporting (Essential add-on)</t>
        </is>
      </c>
      <c r="B64" s="191" t="inlineStr">
        <is>
          <t>$1,500</t>
        </is>
      </c>
      <c r="C64" s="191" t="inlineStr">
        <is>
          <t>$4,000</t>
        </is>
      </c>
      <c r="D64" s="190" t="inlineStr">
        <is>
          <t>Included Professional+ · supervisor/admin RBAC</t>
        </is>
      </c>
    </row>
    <row r="65">
      <c r="A65" s="186" t="inlineStr">
        <is>
          <t>iQ Reporting (Professional / Command)</t>
        </is>
      </c>
      <c r="B65" s="192" t="inlineStr">
        <is>
          <t>Included</t>
        </is>
      </c>
      <c r="C65" s="192" t="inlineStr">
        <is>
          <t>Included</t>
        </is>
      </c>
      <c r="D65" s="186" t="inlineStr">
        <is>
          <t>No extra fee when base plan is Pro+</t>
        </is>
      </c>
    </row>
    <row r="66">
      <c r="A66" s="190" t="inlineStr">
        <is>
          <t>Nightly + hourly aggregation</t>
        </is>
      </c>
      <c r="B66" s="193" t="inlineStr">
        <is>
          <t>Included</t>
        </is>
      </c>
      <c r="C66" s="193" t="inlineStr">
        <is>
          <t>Included</t>
        </is>
      </c>
      <c r="D66" s="190" t="inlineStr">
        <is>
          <t>7-day backfill · per-vertical daily metrics</t>
        </is>
      </c>
    </row>
    <row r="67">
      <c r="A67" s="188" t="inlineStr">
        <is>
          <t xml:space="preserve">  Source: live product (IQReportingPanel). Price aligned to addon-catalog comms_intel.command_intelligence $1,500/mo.</t>
        </is>
      </c>
    </row>
    <row r="69">
      <c r="A69" s="194" t="inlineStr">
        <is>
          <t xml:space="preserve">  COMMUNICATIONS INTELLIGENCE</t>
        </is>
      </c>
    </row>
    <row r="70">
      <c r="A70" s="188" t="inlineStr">
        <is>
          <t xml:space="preserve">  Distinct from Incident Command Dashboard. Context Cards are included in every plan.</t>
        </is>
      </c>
    </row>
    <row r="71">
      <c r="A71" s="189" t="inlineStr">
        <is>
          <t>Item</t>
        </is>
      </c>
      <c r="B71" s="189" t="inlineStr">
        <is>
          <t>Monthly Fee Low</t>
        </is>
      </c>
      <c r="C71" s="189" t="inlineStr">
        <is>
          <t>Monthly Fee High</t>
        </is>
      </c>
      <c r="D71" s="189" t="inlineStr">
        <is>
          <t>Notes</t>
        </is>
      </c>
    </row>
    <row r="72">
      <c r="A72" s="190" t="inlineStr">
        <is>
          <t>Incident Context Cards</t>
        </is>
      </c>
      <c r="B72" s="193" t="inlineStr">
        <is>
          <t>Included</t>
        </is>
      </c>
      <c r="C72" s="193" t="inlineStr">
        <is>
          <t>Included</t>
        </is>
      </c>
      <c r="D72" s="190" t="inlineStr">
        <is>
          <t>All plans · prior calls, officer-safety flags, CAD/Vault labels</t>
        </is>
      </c>
    </row>
    <row r="73">
      <c r="A73" s="186" t="inlineStr">
        <is>
          <t>Command Intelligence</t>
        </is>
      </c>
      <c r="B73" s="187" t="inlineStr">
        <is>
          <t>$1,500</t>
        </is>
      </c>
      <c r="C73" s="187" t="inlineStr">
        <is>
          <t>$4,000</t>
        </is>
      </c>
      <c r="D73" s="186" t="inlineStr">
        <is>
          <t>Professional+ · volume, containment, translation, repeat locations</t>
        </is>
      </c>
    </row>
    <row r="74">
      <c r="A74" s="190" t="inlineStr">
        <is>
          <t>NexiQ Vault</t>
        </is>
      </c>
      <c r="B74" s="191" t="inlineStr">
        <is>
          <t>$1,200</t>
        </is>
      </c>
      <c r="C74" s="191" t="inlineStr">
        <is>
          <t>$3,500</t>
        </is>
      </c>
      <c r="D74" s="190" t="inlineStr">
        <is>
          <t>Command+ · historical CAD/call archive · no JMS / criminal history</t>
        </is>
      </c>
    </row>
    <row r="75">
      <c r="A75" s="188" t="inlineStr">
        <is>
          <t xml:space="preserve">  Source: addon-catalog comms_intel.context_cards ($0), command_intelligence ($1,500), nexiq_vault ($1,200).</t>
        </is>
      </c>
    </row>
    <row r="77">
      <c r="A77" s="194" t="inlineStr">
        <is>
          <t xml:space="preserve">  CALL ASSIST — NON-EMERGENCY AI CALL MANAGEMENT</t>
        </is>
      </c>
    </row>
    <row r="78">
      <c r="A78" s="188" t="inlineStr">
        <is>
          <t xml:space="preserve">  Standalone non-emergency product. Emergency 911 is never in scope — Safety Engine transfers immediately. Users land on /app/call-assist/* — never the 911 dispatcher workspace.</t>
        </is>
      </c>
    </row>
    <row r="79">
      <c r="A79" s="189" t="inlineStr">
        <is>
          <t>Item</t>
        </is>
      </c>
      <c r="B79" s="189" t="inlineStr">
        <is>
          <t>Monthly Fee Low</t>
        </is>
      </c>
      <c r="C79" s="189" t="inlineStr">
        <is>
          <t>Monthly Fee High</t>
        </is>
      </c>
      <c r="D79" s="189" t="inlineStr">
        <is>
          <t>Notes</t>
        </is>
      </c>
    </row>
    <row r="80">
      <c r="A80" s="190" t="inlineStr">
        <is>
          <t>Call Assist module</t>
        </is>
      </c>
      <c r="B80" s="191" t="inlineStr">
        <is>
          <t>$4,500</t>
        </is>
      </c>
      <c r="C80" s="191" t="inlineStr">
        <is>
          <t>$9,000</t>
        </is>
      </c>
      <c r="D80" s="190" t="inlineStr">
        <is>
          <t>Professional+ · greeting, triage, warm transfer, supervisor monitor</t>
        </is>
      </c>
    </row>
    <row r="81">
      <c r="A81" s="186" t="inlineStr">
        <is>
          <t>Call Assist CAD Push</t>
        </is>
      </c>
      <c r="B81" s="187" t="inlineStr">
        <is>
          <t>$1,500</t>
        </is>
      </c>
      <c r="C81" s="187" t="inlineStr">
        <is>
          <t>$3,500</t>
        </is>
      </c>
      <c r="D81" s="186" t="inlineStr">
        <is>
          <t>Command+ · human-reviewed CAD push · fail-closed with platform write-back</t>
        </is>
      </c>
    </row>
    <row r="82">
      <c r="A82" s="190" t="inlineStr">
        <is>
          <t>Call Assist RMS Drafts</t>
        </is>
      </c>
      <c r="B82" s="191" t="inlineStr">
        <is>
          <t>$1,500</t>
        </is>
      </c>
      <c r="C82" s="191" t="inlineStr">
        <is>
          <t>$3,500</t>
        </is>
      </c>
      <c r="D82" s="190" t="inlineStr">
        <is>
          <t>Command+ · human-reviewed RMS drafts · live Records fail-closed</t>
        </is>
      </c>
    </row>
    <row r="83">
      <c r="A83" s="186" t="inlineStr">
        <is>
          <t>Call Assist TTY/TDD Routing</t>
        </is>
      </c>
      <c r="B83" s="187" t="inlineStr">
        <is>
          <t>$500</t>
        </is>
      </c>
      <c r="C83" s="187" t="inlineStr">
        <is>
          <t>$1,500</t>
        </is>
      </c>
      <c r="D83" s="186" t="inlineStr">
        <is>
          <t>Professional+ · TTY detection + SMS fallback</t>
        </is>
      </c>
    </row>
    <row r="84">
      <c r="A84" s="190" t="inlineStr">
        <is>
          <t>Call Assist External Routing</t>
        </is>
      </c>
      <c r="B84" s="191" t="inlineStr">
        <is>
          <t>$750</t>
        </is>
      </c>
      <c r="C84" s="191" t="inlineStr">
        <is>
          <t>$2,000</t>
        </is>
      </c>
      <c r="D84" s="190" t="inlineStr">
        <is>
          <t>Warm-transfer / overflow routing</t>
        </is>
      </c>
    </row>
    <row r="85">
      <c r="A85" s="188" t="inlineStr">
        <is>
          <t xml:space="preserve">  Source: addon-catalog call_assist.* list prices.</t>
        </is>
      </c>
    </row>
    <row r="87">
      <c r="A87" s="194" t="inlineStr">
        <is>
          <t xml:space="preserve">  RESPONSE CONTINUITY · CAD MESH · NG911 · TRANSLATE</t>
        </is>
      </c>
    </row>
    <row r="88">
      <c r="A88" s="188" t="inlineStr">
        <is>
          <t xml:space="preserve">  CAD write-back stays fail-closed and is NOT in pilot base. Mesh is never free. NG911 Assist has no list SKU — scope after i3/ESInet discovery.</t>
        </is>
      </c>
    </row>
    <row r="89">
      <c r="A89" s="189" t="inlineStr">
        <is>
          <t>Item</t>
        </is>
      </c>
      <c r="B89" s="189" t="inlineStr">
        <is>
          <t>Monthly Fee Low</t>
        </is>
      </c>
      <c r="C89" s="189" t="inlineStr">
        <is>
          <t>Monthly Fee High</t>
        </is>
      </c>
      <c r="D89" s="189" t="inlineStr">
        <is>
          <t>Notes</t>
        </is>
      </c>
    </row>
    <row r="90">
      <c r="A90" s="190" t="inlineStr">
        <is>
          <t>Response Continuity System (RCS)</t>
        </is>
      </c>
      <c r="B90" s="191" t="inlineStr">
        <is>
          <t>$3,500</t>
        </is>
      </c>
      <c r="C90" s="191" t="inlineStr">
        <is>
          <t>$7,500</t>
        </is>
      </c>
      <c r="D90" s="190" t="inlineStr">
        <is>
          <t>Professional+ · silent monitor, geofence arrival, audio sentinel</t>
        </is>
      </c>
    </row>
    <row r="91">
      <c r="A91" s="186" t="inlineStr">
        <is>
          <t>Multi-CAD Connector / CAD-to-CAD mesh</t>
        </is>
      </c>
      <c r="B91" s="187" t="inlineStr">
        <is>
          <t>$3,500</t>
        </is>
      </c>
      <c r="C91" s="187" t="inlineStr">
        <is>
          <t>$8,000</t>
        </is>
      </c>
      <c r="D91" s="186" t="inlineStr">
        <is>
          <t>Command+ · never free · additional vendor $15,000 OT</t>
        </is>
      </c>
    </row>
    <row r="92">
      <c r="A92" s="190" t="inlineStr">
        <is>
          <t>Map Unit Overlays (AVL)</t>
        </is>
      </c>
      <c r="B92" s="191" t="inlineStr">
        <is>
          <t>$500</t>
        </is>
      </c>
      <c r="C92" s="191" t="inlineStr">
        <is>
          <t>$1,500</t>
        </is>
      </c>
      <c r="D92" s="190" t="inlineStr">
        <is>
          <t>Command+ · CAD/AVL unit markers, status, ETA</t>
        </is>
      </c>
    </row>
    <row r="93">
      <c r="A93" s="186" t="inlineStr">
        <is>
          <t>NexCort Translate (ops / field)</t>
        </is>
      </c>
      <c r="B93" s="187" t="inlineStr">
        <is>
          <t>$1,000</t>
        </is>
      </c>
      <c r="C93" s="187" t="inlineStr">
        <is>
          <t>$3,000</t>
        </is>
      </c>
      <c r="D93" s="186" t="inlineStr">
        <is>
          <t>Campus/venue/transit/clinical — complements PSAP live translation</t>
        </is>
      </c>
    </row>
    <row r="94">
      <c r="A94" s="190" t="inlineStr">
        <is>
          <t>NG911 Assist (EIDO / additional data)</t>
        </is>
      </c>
      <c r="B94" s="191" t="inlineStr">
        <is>
          <t>$2,500</t>
        </is>
      </c>
      <c r="C94" s="191" t="inlineStr">
        <is>
          <t>$7,500</t>
        </is>
      </c>
      <c r="D94" s="190" t="inlineStr">
        <is>
          <t>No catalog SKU — quote after NG911 discovery · not a telephony replace</t>
        </is>
      </c>
    </row>
    <row r="95">
      <c r="A95" s="186" t="inlineStr">
        <is>
          <t>Mutual Aid &amp; MCI Command</t>
        </is>
      </c>
      <c r="B95" s="187" t="inlineStr">
        <is>
          <t>$5,000</t>
        </is>
      </c>
      <c r="C95" s="187" t="inlineStr">
        <is>
          <t>$15,000</t>
        </is>
      </c>
      <c r="D95" s="186" t="inlineStr">
        <is>
          <t>Aligns to Incident Command suite · hospital MCI routing separate</t>
        </is>
      </c>
    </row>
    <row r="96">
      <c r="A96" s="188" t="inlineStr">
        <is>
          <t xml:space="preserve">  Source: addon-catalog rcs.module $3,500, cad.connector $3,500, cad.unit_overlays_avl $500, cad.additional_connector $15,000 OT. NG911 range is internal guidance only.</t>
        </is>
      </c>
    </row>
    <row r="98">
      <c r="A98" s="194" t="inlineStr">
        <is>
          <t xml:space="preserve">  VERTICAL OPERATIONS &amp; PLATFORM SECURITY</t>
        </is>
      </c>
    </row>
    <row r="99">
      <c r="A99" s="188" t="inlineStr">
        <is>
          <t xml:space="preserve">  Clery is campus-only and is not legal advice. Physical lock/unlock commands are a separate fail-closed flag.</t>
        </is>
      </c>
    </row>
    <row r="100">
      <c r="A100" s="189" t="inlineStr">
        <is>
          <t>Item</t>
        </is>
      </c>
      <c r="B100" s="189" t="inlineStr">
        <is>
          <t>Monthly Fee Low</t>
        </is>
      </c>
      <c r="C100" s="189" t="inlineStr">
        <is>
          <t>Monthly Fee High</t>
        </is>
      </c>
      <c r="D100" s="189" t="inlineStr">
        <is>
          <t>Notes</t>
        </is>
      </c>
    </row>
    <row r="101">
      <c r="A101" s="190" t="inlineStr">
        <is>
          <t>Emergency Alert Broadcast</t>
        </is>
      </c>
      <c r="B101" s="191" t="inlineStr">
        <is>
          <t>$1,500</t>
        </is>
      </c>
      <c r="C101" s="191" t="inlineStr">
        <is>
          <t>$4,000</t>
        </is>
      </c>
      <c r="D101" s="190" t="inlineStr">
        <is>
          <t>Professional+ · campus/venue/transit occupant notification</t>
        </is>
      </c>
    </row>
    <row r="102">
      <c r="A102" s="186" t="inlineStr">
        <is>
          <t>Emergency Alert Short Code (pass-through)</t>
        </is>
      </c>
      <c r="B102" s="187" t="inlineStr">
        <is>
          <t>$750</t>
        </is>
      </c>
      <c r="C102" s="187" t="inlineStr">
        <is>
          <t>$2,000</t>
        </is>
      </c>
      <c r="D102" s="186" t="inlineStr">
        <is>
          <t>Command+ · 8–12 week procurement · not sub-3s SMS</t>
        </is>
      </c>
    </row>
    <row r="103">
      <c r="A103" s="190" t="inlineStr">
        <is>
          <t>Clery Act Compliance Module</t>
        </is>
      </c>
      <c r="B103" s="191" t="inlineStr">
        <is>
          <t>$417</t>
        </is>
      </c>
      <c r="C103" s="191" t="inlineStr">
        <is>
          <t>$1,250</t>
        </is>
      </c>
      <c r="D103" s="190" t="inlineStr">
        <is>
          <t>Campus Command+ · CSA registry, Daily Crime Log, ASR stats</t>
        </is>
      </c>
    </row>
    <row r="104">
      <c r="A104" s="186" t="inlineStr">
        <is>
          <t>Physical Security Ingest</t>
        </is>
      </c>
      <c r="B104" s="187" t="inlineStr">
        <is>
          <t>$2,500</t>
        </is>
      </c>
      <c r="C104" s="187" t="inlineStr">
        <is>
          <t>$6,000</t>
        </is>
      </c>
      <c r="D104" s="186" t="inlineStr">
        <is>
          <t>Command+ · fire panel / access-control events · no auto unlock</t>
        </is>
      </c>
    </row>
    <row r="105">
      <c r="A105" s="190" t="inlineStr">
        <is>
          <t>Hospital Routing Module</t>
        </is>
      </c>
      <c r="B105" s="191" t="inlineStr">
        <is>
          <t>$4,000</t>
        </is>
      </c>
      <c r="C105" s="191" t="inlineStr">
        <is>
          <t>$8,000</t>
        </is>
      </c>
      <c r="D105" s="190" t="inlineStr">
        <is>
          <t>Hospital Professional+ · divert, ED routing, trauma bay</t>
        </is>
      </c>
    </row>
    <row r="106">
      <c r="A106" s="186" t="inlineStr">
        <is>
          <t>Network Access Controls</t>
        </is>
      </c>
      <c r="B106" s="187" t="inlineStr">
        <is>
          <t>$500</t>
        </is>
      </c>
      <c r="C106" s="187" t="inlineStr">
        <is>
          <t>$1,500</t>
        </is>
      </c>
      <c r="D106" s="186" t="inlineStr">
        <is>
          <t>Professional+ · IP allowlists + time-window gates</t>
        </is>
      </c>
    </row>
    <row r="107">
      <c r="A107" s="190" t="inlineStr">
        <is>
          <t>Deception Shield</t>
        </is>
      </c>
      <c r="B107" s="191" t="inlineStr">
        <is>
          <t>$2,000</t>
        </is>
      </c>
      <c r="C107" s="191" t="inlineStr">
        <is>
          <t>$5,000</t>
        </is>
      </c>
      <c r="D107" s="190" t="inlineStr">
        <is>
          <t>Command+ · honeypot / decoy paths for unauthorized-access detection</t>
        </is>
      </c>
    </row>
    <row r="108">
      <c r="A108" s="186" t="inlineStr">
        <is>
          <t>Extended Audit Retention</t>
        </is>
      </c>
      <c r="B108" s="187" t="inlineStr">
        <is>
          <t>$1,000</t>
        </is>
      </c>
      <c r="C108" s="187" t="inlineStr">
        <is>
          <t>$3,000</t>
        </is>
      </c>
      <c r="D108" s="186" t="inlineStr">
        <is>
          <t>Command+ · beyond plan retention floor</t>
        </is>
      </c>
    </row>
    <row r="109">
      <c r="A109" s="190" t="inlineStr">
        <is>
          <t>API Keys &amp; Webhooks</t>
        </is>
      </c>
      <c r="B109" s="191" t="inlineStr">
        <is>
          <t>$500</t>
        </is>
      </c>
      <c r="C109" s="191" t="inlineStr">
        <is>
          <t>$1,500</t>
        </is>
      </c>
      <c r="D109" s="190" t="inlineStr">
        <is>
          <t>Professional+ · scoped outbound credentials</t>
        </is>
      </c>
    </row>
    <row r="110">
      <c r="A110" s="186" t="inlineStr">
        <is>
          <t>Grant Success Package</t>
        </is>
      </c>
      <c r="B110" s="187" t="inlineStr">
        <is>
          <t>$2,500</t>
        </is>
      </c>
      <c r="C110" s="187" t="inlineStr">
        <is>
          <t>$2,500</t>
        </is>
      </c>
      <c r="D110" s="186" t="inlineStr">
        <is>
          <t>One-time · Professional+ · grant-ready exports (not monthly)</t>
        </is>
      </c>
    </row>
    <row r="111">
      <c r="A111" s="188" t="inlineStr">
        <is>
          <t xml:space="preserve">  Source: addon-catalog vertical.alerts, campus.clery, physical.security, hospital.routing, platform_security.*, grant_success_package $2,500 OT.</t>
        </is>
      </c>
    </row>
    <row r="113">
      <c r="A113" s="195" t="inlineStr">
        <is>
          <t>⚠  INTERNAL USE ONLY — Feature add-on pricing. Agency Share is a FEATURE, not a product. NexIQ Vision™ / Call Assist / Vault / mesh are never free. CAD write-back is fail-closed. Do not quote NexiQ sales intelligence to agencies.</t>
        </is>
      </c>
    </row>
  </sheetData>
  <mergeCells count="27">
    <mergeCell ref="A5:D5"/>
    <mergeCell ref="A62:D62"/>
    <mergeCell ref="A96:D96"/>
    <mergeCell ref="A28:D28"/>
    <mergeCell ref="A111:D111"/>
    <mergeCell ref="A40:D40"/>
    <mergeCell ref="A67:D67"/>
    <mergeCell ref="A77:D77"/>
    <mergeCell ref="A98:D98"/>
    <mergeCell ref="A1:D1"/>
    <mergeCell ref="A70:D70"/>
    <mergeCell ref="A61:D61"/>
    <mergeCell ref="A6:D6"/>
    <mergeCell ref="A88:D88"/>
    <mergeCell ref="A69:D69"/>
    <mergeCell ref="A78:D78"/>
    <mergeCell ref="A54:D54"/>
    <mergeCell ref="A87:D87"/>
    <mergeCell ref="A41:D41"/>
    <mergeCell ref="A99:D99"/>
    <mergeCell ref="A75:D75"/>
    <mergeCell ref="A27:D27"/>
    <mergeCell ref="A3:D3"/>
    <mergeCell ref="A55:D55"/>
    <mergeCell ref="A113:D113"/>
    <mergeCell ref="A2:D2"/>
    <mergeCell ref="A85:D85"/>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H40"/>
  <sheetViews>
    <sheetView showGridLines="0" zoomScaleNormal="100" workbookViewId="0">
      <pane ySplit="4" topLeftCell="A5" activePane="bottomLeft" state="frozen"/>
      <selection activeCell="I31" sqref="I31"/>
      <selection pane="bottomLeft" activeCell="I31" sqref="I31"/>
    </sheetView>
  </sheetViews>
  <sheetFormatPr baseColWidth="10" defaultColWidth="8.6640625" defaultRowHeight="15"/>
  <cols>
    <col width="44" customWidth="1" style="164" min="1" max="1"/>
    <col width="22" customWidth="1" style="164" min="2" max="6"/>
  </cols>
  <sheetData>
    <row r="1" ht="18" customHeight="1" s="164">
      <c r="A1" s="73" t="inlineStr">
        <is>
          <t>NEXCORT IQ — INTERNAL PRICING GUIDE</t>
        </is>
      </c>
    </row>
    <row r="2" ht="16" customHeight="1" s="164">
      <c r="A2" s="78" t="inlineStr">
        <is>
          <t>AI &amp; CALL INTELLIGENCE ADD-ONS</t>
        </is>
      </c>
    </row>
    <row r="3">
      <c r="A3" s="74" t="inlineStr">
        <is>
          <t>Triage workflows · Confidence scoring · Model redundancy · Summarization · Custom tuning</t>
        </is>
      </c>
    </row>
    <row r="5">
      <c r="A5" s="77" t="inlineStr">
        <is>
          <t xml:space="preserve">  AI TRIAGE WORKFLOWS</t>
        </is>
      </c>
    </row>
    <row r="6">
      <c r="A6" s="3" t="inlineStr">
        <is>
          <t>Tier</t>
        </is>
      </c>
      <c r="B6" s="3" t="inlineStr">
        <is>
          <t>Rules / Coverage</t>
        </is>
      </c>
      <c r="C6" s="3" t="inlineStr">
        <is>
          <t>Monthly Fee</t>
        </is>
      </c>
      <c r="D6" s="3" t="inlineStr">
        <is>
          <t>Notes</t>
        </is>
      </c>
      <c r="E6" s="3" t="n"/>
      <c r="F6" s="3" t="n"/>
    </row>
    <row r="7">
      <c r="A7" s="4" t="inlineStr">
        <is>
          <t>Basic</t>
        </is>
      </c>
      <c r="B7" s="5" t="inlineStr">
        <is>
          <t>5–10 custom rules</t>
        </is>
      </c>
      <c r="C7" s="9" t="n">
        <v>2500</v>
      </c>
      <c r="D7" s="5" t="inlineStr">
        <is>
          <t>Single emergency type</t>
        </is>
      </c>
      <c r="E7" s="5" t="n"/>
      <c r="F7" s="5" t="n"/>
    </row>
    <row r="8">
      <c r="A8" s="6" t="inlineStr">
        <is>
          <t>Standard</t>
        </is>
      </c>
      <c r="B8" s="7" t="inlineStr">
        <is>
          <t>10–25 rules, 3–5 types</t>
        </is>
      </c>
      <c r="C8" s="10" t="n">
        <v>5000</v>
      </c>
      <c r="D8" s="7" t="inlineStr">
        <is>
          <t>Most agencies — recommended</t>
        </is>
      </c>
      <c r="E8" s="7" t="n"/>
      <c r="F8" s="7" t="n"/>
    </row>
    <row r="9">
      <c r="A9" s="4" t="inlineStr">
        <is>
          <t>Premium</t>
        </is>
      </c>
      <c r="B9" s="5" t="inlineStr">
        <is>
          <t>25+ rules, all types</t>
        </is>
      </c>
      <c r="C9" s="9" t="n">
        <v>7500</v>
      </c>
      <c r="D9" s="5" t="inlineStr">
        <is>
          <t>Full coverage</t>
        </is>
      </c>
      <c r="E9" s="5" t="n"/>
      <c r="F9" s="5" t="n"/>
    </row>
    <row r="10">
      <c r="A10" s="67" t="n"/>
    </row>
    <row r="11">
      <c r="A11" s="77" t="inlineStr">
        <is>
          <t xml:space="preserve">  AI MODEL REDUNDANCY</t>
        </is>
      </c>
    </row>
    <row r="12">
      <c r="A12" s="3" t="inlineStr">
        <is>
          <t>Level</t>
        </is>
      </c>
      <c r="B12" s="3" t="inlineStr">
        <is>
          <t>Monthly Fee Low</t>
        </is>
      </c>
      <c r="C12" s="3" t="inlineStr">
        <is>
          <t>Monthly Fee High</t>
        </is>
      </c>
      <c r="D12" s="3" t="inlineStr">
        <is>
          <t>Notes</t>
        </is>
      </c>
      <c r="E12" s="3" t="n"/>
      <c r="F12" s="3" t="n"/>
    </row>
    <row r="13">
      <c r="A13" s="4" t="inlineStr">
        <is>
          <t>Secondary AI Model Review</t>
        </is>
      </c>
      <c r="B13" s="9" t="n">
        <v>2000</v>
      </c>
      <c r="C13" s="9" t="n">
        <v>6000</v>
      </c>
      <c r="D13" s="5" t="inlineStr">
        <is>
          <t>By volume</t>
        </is>
      </c>
      <c r="E13" s="5" t="n"/>
      <c r="F13" s="5" t="n"/>
    </row>
    <row r="14">
      <c r="A14" s="6" t="inlineStr">
        <is>
          <t>Tertiary AI Model Fallback</t>
        </is>
      </c>
      <c r="B14" s="10" t="n">
        <v>2000</v>
      </c>
      <c r="C14" s="10" t="n">
        <v>6000</v>
      </c>
      <c r="D14" s="7" t="inlineStr">
        <is>
          <t>Adds resilience — recommended for Command+</t>
        </is>
      </c>
      <c r="E14" s="7" t="n"/>
      <c r="F14" s="7" t="n"/>
    </row>
    <row r="15">
      <c r="A15" s="67" t="n"/>
    </row>
    <row r="16">
      <c r="A16" s="77" t="inlineStr">
        <is>
          <t xml:space="preserve">  AI CONFIDENCE &amp; SCORING</t>
        </is>
      </c>
    </row>
    <row r="17">
      <c r="A17" s="3" t="inlineStr">
        <is>
          <t>Tier</t>
        </is>
      </c>
      <c r="B17" s="3" t="inlineStr">
        <is>
          <t>Monthly Fee</t>
        </is>
      </c>
      <c r="C17" s="3" t="inlineStr">
        <is>
          <t>Notes</t>
        </is>
      </c>
      <c r="D17" s="3" t="n"/>
      <c r="E17" s="3" t="n"/>
      <c r="F17" s="3" t="n"/>
    </row>
    <row r="18">
      <c r="A18" s="4" t="inlineStr">
        <is>
          <t>Basic Confidence Scoring</t>
        </is>
      </c>
      <c r="B18" s="9" t="n">
        <v>1500</v>
      </c>
      <c r="C18" s="5" t="n"/>
      <c r="D18" s="5" t="n"/>
      <c r="E18" s="5" t="n"/>
      <c r="F18" s="5" t="n"/>
    </row>
    <row r="19">
      <c r="A19" s="6" t="inlineStr">
        <is>
          <t>Advanced Confidence Scoring</t>
        </is>
      </c>
      <c r="B19" s="10" t="n">
        <v>3500</v>
      </c>
      <c r="C19" s="7" t="n"/>
      <c r="D19" s="7" t="n"/>
      <c r="E19" s="7" t="n"/>
      <c r="F19" s="7" t="n"/>
    </row>
    <row r="20">
      <c r="A20" s="4" t="inlineStr">
        <is>
          <t>Premium Multi-Factor Scoring</t>
        </is>
      </c>
      <c r="B20" s="9" t="n">
        <v>5000</v>
      </c>
      <c r="C20" s="5" t="inlineStr">
        <is>
          <t>Recommended for Command+</t>
        </is>
      </c>
      <c r="D20" s="5" t="n"/>
      <c r="E20" s="5" t="n"/>
      <c r="F20" s="5" t="n"/>
    </row>
    <row r="21">
      <c r="A21" s="6" t="inlineStr">
        <is>
          <t>AI QA Scoring Model</t>
        </is>
      </c>
      <c r="B21" s="10" t="n">
        <v>2500</v>
      </c>
      <c r="C21" s="7" t="n"/>
      <c r="D21" s="7" t="n"/>
      <c r="E21" s="7" t="n"/>
      <c r="F21" s="7" t="n"/>
    </row>
    <row r="22">
      <c r="A22" s="67" t="n"/>
    </row>
    <row r="23">
      <c r="A23" s="77" t="inlineStr">
        <is>
          <t xml:space="preserve">  AI INCIDENT SUMMARIZATION</t>
        </is>
      </c>
    </row>
    <row r="24">
      <c r="A24" s="3" t="inlineStr">
        <is>
          <t>Volume Tier</t>
        </is>
      </c>
      <c r="B24" s="3" t="inlineStr">
        <is>
          <t>Monthly Fee</t>
        </is>
      </c>
      <c r="C24" s="3" t="inlineStr">
        <is>
          <t>Notes</t>
        </is>
      </c>
      <c r="D24" s="3" t="n"/>
      <c r="E24" s="3" t="n"/>
      <c r="F24" s="3" t="n"/>
    </row>
    <row r="25">
      <c r="A25" s="4" t="inlineStr">
        <is>
          <t>Basic (&lt;5K calls/month)</t>
        </is>
      </c>
      <c r="B25" s="9" t="n">
        <v>1500</v>
      </c>
      <c r="C25" s="5" t="n"/>
      <c r="D25" s="5" t="n"/>
      <c r="E25" s="5" t="n"/>
      <c r="F25" s="5" t="n"/>
    </row>
    <row r="26">
      <c r="A26" s="6" t="inlineStr">
        <is>
          <t>Standard (5K–20K calls/month)</t>
        </is>
      </c>
      <c r="B26" s="10" t="n">
        <v>3500</v>
      </c>
      <c r="C26" s="7" t="n"/>
      <c r="D26" s="7" t="n"/>
      <c r="E26" s="7" t="n"/>
      <c r="F26" s="7" t="n"/>
    </row>
    <row r="27">
      <c r="A27" s="4" t="inlineStr">
        <is>
          <t>Premium (20K+ calls/month)</t>
        </is>
      </c>
      <c r="B27" s="9" t="n">
        <v>5000</v>
      </c>
      <c r="C27" s="5" t="n"/>
      <c r="D27" s="5" t="n"/>
      <c r="E27" s="5" t="n"/>
      <c r="F27" s="5" t="n"/>
    </row>
    <row r="28">
      <c r="A28" s="67" t="n"/>
    </row>
    <row r="29">
      <c r="A29" s="77" t="inlineStr">
        <is>
          <t xml:space="preserve">  AI CUSTOM DEVELOPMENT &amp; TUNING</t>
        </is>
      </c>
    </row>
    <row r="30">
      <c r="A30" s="3" t="inlineStr">
        <is>
          <t>Item</t>
        </is>
      </c>
      <c r="B30" s="3" t="inlineStr">
        <is>
          <t>Price Low</t>
        </is>
      </c>
      <c r="C30" s="3" t="inlineStr">
        <is>
          <t>Price High</t>
        </is>
      </c>
      <c r="D30" s="3" t="inlineStr">
        <is>
          <t>Type</t>
        </is>
      </c>
      <c r="E30" s="3" t="inlineStr">
        <is>
          <t>Notes</t>
        </is>
      </c>
      <c r="F30" s="3" t="n"/>
    </row>
    <row r="31">
      <c r="A31" s="4" t="inlineStr">
        <is>
          <t>AI Dispatcher Recommendation Engine</t>
        </is>
      </c>
      <c r="B31" s="9" t="n">
        <v>2500</v>
      </c>
      <c r="C31" s="9" t="n">
        <v>10000</v>
      </c>
      <c r="D31" s="5" t="inlineStr">
        <is>
          <t>/ month</t>
        </is>
      </c>
      <c r="E31" s="5" t="n"/>
      <c r="F31" s="5" t="n"/>
    </row>
    <row r="32">
      <c r="A32" s="6" t="inlineStr">
        <is>
          <t>Custom Agency AI Prompts / Playbooks</t>
        </is>
      </c>
      <c r="B32" s="10" t="n">
        <v>10000</v>
      </c>
      <c r="C32" s="10" t="n">
        <v>50000</v>
      </c>
      <c r="D32" s="7" t="inlineStr">
        <is>
          <t>One-time</t>
        </is>
      </c>
      <c r="E32" s="7" t="n"/>
      <c r="F32" s="7" t="n"/>
    </row>
    <row r="33">
      <c r="A33" s="4" t="inlineStr">
        <is>
          <t>Custom Emergency-Type Workflow Tuning</t>
        </is>
      </c>
      <c r="B33" s="9" t="n">
        <v>5000</v>
      </c>
      <c r="C33" s="9" t="n">
        <v>25000</v>
      </c>
      <c r="D33" s="5" t="inlineStr">
        <is>
          <t>Per workflow</t>
        </is>
      </c>
      <c r="E33" s="5" t="n"/>
      <c r="F33" s="5" t="n"/>
    </row>
    <row r="34">
      <c r="A34" s="6" t="inlineStr">
        <is>
          <t>AI Post-Incident Review Package</t>
        </is>
      </c>
      <c r="B34" s="10" t="n">
        <v>2500</v>
      </c>
      <c r="C34" s="10" t="n">
        <v>10000</v>
      </c>
      <c r="D34" s="7" t="inlineStr">
        <is>
          <t>/ month</t>
        </is>
      </c>
      <c r="E34" s="7" t="n"/>
      <c r="F34" s="7" t="n"/>
    </row>
    <row r="35">
      <c r="A35" s="67" t="n"/>
    </row>
    <row r="36">
      <c r="A36" s="79" t="inlineStr">
        <is>
          <t xml:space="preserve">  SALES POSITIONING — AI Add-Ons</t>
        </is>
      </c>
    </row>
    <row r="37">
      <c r="A37" s="75" t="inlineStr">
        <is>
          <t xml:space="preserve">    Position AI as decision support, not a replacement for dispatcher judgment.</t>
        </is>
      </c>
    </row>
    <row r="38">
      <c r="A38" s="75" t="inlineStr">
        <is>
          <t xml:space="preserve">    Reduces cognitive load and improves consistency during high-pressure calls.</t>
        </is>
      </c>
    </row>
    <row r="39">
      <c r="A39" s="75" t="inlineStr">
        <is>
          <t xml:space="preserve">    Custom prompts/playbooks are high-value, high-margin — scope carefully.</t>
        </is>
      </c>
    </row>
    <row r="40">
      <c r="A40" s="76" t="inlineStr">
        <is>
          <t>⚠  INTERNAL USE ONLY</t>
        </is>
      </c>
    </row>
  </sheetData>
  <mergeCells count="18">
    <mergeCell ref="A38:F38"/>
    <mergeCell ref="A2:F2"/>
    <mergeCell ref="A11:F11"/>
    <mergeCell ref="A16:F16"/>
    <mergeCell ref="A35:H35"/>
    <mergeCell ref="A36:F36"/>
    <mergeCell ref="A15:H15"/>
    <mergeCell ref="A1:F1"/>
    <mergeCell ref="A37:F37"/>
    <mergeCell ref="A5:F5"/>
    <mergeCell ref="A23:F23"/>
    <mergeCell ref="A10:H10"/>
    <mergeCell ref="A28:H28"/>
    <mergeCell ref="A40:F40"/>
    <mergeCell ref="A3:F3"/>
    <mergeCell ref="A39:F39"/>
    <mergeCell ref="A29:F29"/>
    <mergeCell ref="A22:H22"/>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fitToPage="1"/>
  </sheetPr>
  <dimension ref="A1:J73"/>
  <sheetViews>
    <sheetView showGridLines="0" tabSelected="1" topLeftCell="A23" zoomScale="85" zoomScaleNormal="85" workbookViewId="0">
      <selection activeCell="B46" sqref="B46:E46"/>
    </sheetView>
  </sheetViews>
  <sheetFormatPr baseColWidth="10" defaultColWidth="8.6640625" defaultRowHeight="15"/>
  <cols>
    <col width="3" customWidth="1" style="164" min="1" max="1"/>
    <col width="28" customWidth="1" style="164" min="2" max="2"/>
    <col width="18" customWidth="1" style="164" min="3" max="3"/>
    <col width="6" customWidth="1" style="164" min="4" max="4"/>
    <col width="16" customWidth="1" style="164" min="5" max="5"/>
    <col width="6" customWidth="1" style="164" min="6" max="6"/>
    <col width="16" customWidth="1" style="164" min="7" max="7"/>
    <col width="6" customWidth="1" style="164" min="8" max="8"/>
    <col width="16" customWidth="1" style="164" min="9" max="9"/>
    <col width="3" customWidth="1" style="164" min="10" max="10"/>
  </cols>
  <sheetData>
    <row r="1" ht="18" customHeight="1" s="164">
      <c r="A1" s="89" t="n"/>
      <c r="B1" s="90" t="n"/>
      <c r="C1" s="91" t="n"/>
      <c r="D1" s="110" t="inlineStr">
        <is>
          <t>NEXCORT IQ</t>
        </is>
      </c>
    </row>
    <row r="2" ht="13.5" customHeight="1" s="164">
      <c r="A2" s="92" t="n"/>
      <c r="C2" s="93" t="n"/>
    </row>
    <row r="3" ht="13.5" customHeight="1" s="164">
      <c r="A3" s="92" t="n"/>
      <c r="C3" s="93" t="n"/>
    </row>
    <row r="4" ht="13.5" customHeight="1" s="164">
      <c r="A4" s="94" t="n"/>
      <c r="B4" s="95" t="n"/>
      <c r="C4" s="96" t="n"/>
    </row>
    <row r="5" ht="18" customHeight="1" s="164">
      <c r="A5" s="100" t="inlineStr">
        <is>
          <t>Apps on Demand LLC  d/b/a  NexCort iQ  |  Intelligence at the Speed of Response</t>
        </is>
      </c>
    </row>
    <row r="6" ht="7.5" customHeight="1" s="164">
      <c r="A6" s="67" t="n"/>
    </row>
    <row r="7" ht="31.5" customHeight="1" s="164">
      <c r="A7" s="113">
        <f>'Quote Builder'!D8&amp;"  —  Service Proposal"</f>
        <v/>
      </c>
    </row>
    <row r="8" ht="19.5" customHeight="1" s="164">
      <c r="A8" s="111">
        <f>'Quote Builder'!D9</f>
        <v/>
      </c>
    </row>
    <row r="9" ht="7.5" customHeight="1" s="164">
      <c r="A9" s="67" t="n"/>
    </row>
    <row r="10" ht="19.5" customHeight="1" s="164">
      <c r="A10" s="108" t="inlineStr">
        <is>
          <t xml:space="preserve">  QUOTE DETAILS</t>
        </is>
      </c>
    </row>
    <row r="11" ht="19.5" customHeight="1" s="164">
      <c r="A11" s="81" t="inlineStr">
        <is>
          <t>Plan Selected</t>
        </is>
      </c>
      <c r="B11" s="82" t="n"/>
      <c r="C11" s="82" t="n"/>
      <c r="D11" s="82" t="n"/>
      <c r="E11" s="83" t="n"/>
      <c r="F11" s="103">
        <f>'Quote Builder'!D15</f>
        <v/>
      </c>
      <c r="G11" s="82" t="n"/>
      <c r="H11" s="82" t="n"/>
      <c r="I11" s="82" t="n"/>
      <c r="J11" s="83" t="n"/>
    </row>
    <row r="12" ht="19.5" customHeight="1" s="164">
      <c r="A12" s="81" t="inlineStr">
        <is>
          <t>Contract Term</t>
        </is>
      </c>
      <c r="B12" s="82" t="n"/>
      <c r="C12" s="82" t="n"/>
      <c r="D12" s="82" t="n"/>
      <c r="E12" s="83" t="n"/>
      <c r="F12" s="103">
        <f>'Quote Builder'!D16</f>
        <v/>
      </c>
      <c r="G12" s="82" t="n"/>
      <c r="H12" s="82" t="n"/>
      <c r="I12" s="82" t="n"/>
      <c r="J12" s="83" t="n"/>
    </row>
    <row r="13" ht="19.5" customHeight="1" s="164">
      <c r="A13" s="81" t="inlineStr">
        <is>
          <t>Dispatcher Seats</t>
        </is>
      </c>
      <c r="B13" s="82" t="n"/>
      <c r="C13" s="82" t="n"/>
      <c r="D13" s="82" t="n"/>
      <c r="E13" s="83" t="n"/>
      <c r="F13" s="103">
        <f>'Quote Builder'!D10</f>
        <v/>
      </c>
      <c r="G13" s="82" t="n"/>
      <c r="H13" s="82" t="n"/>
      <c r="I13" s="82" t="n"/>
      <c r="J13" s="83" t="n"/>
    </row>
    <row r="14" ht="19.5" customHeight="1" s="164">
      <c r="A14" s="81" t="inlineStr">
        <is>
          <t>Admin / Supervisor Seats</t>
        </is>
      </c>
      <c r="B14" s="82" t="n"/>
      <c r="C14" s="82" t="n"/>
      <c r="D14" s="82" t="n"/>
      <c r="E14" s="83" t="n"/>
      <c r="F14" s="103">
        <f>'Quote Builder'!D11</f>
        <v/>
      </c>
      <c r="G14" s="82" t="n"/>
      <c r="H14" s="82" t="n"/>
      <c r="I14" s="82" t="n"/>
      <c r="J14" s="83" t="n"/>
    </row>
    <row r="15" ht="19.5" customHeight="1" s="164">
      <c r="A15" s="81" t="inlineStr">
        <is>
          <t>Est. Call Volume / Month</t>
        </is>
      </c>
      <c r="B15" s="82" t="n"/>
      <c r="C15" s="82" t="n"/>
      <c r="D15" s="82" t="n"/>
      <c r="E15" s="83" t="n"/>
      <c r="F15" s="103">
        <f>'Quote Builder'!D12&amp;" calls"</f>
        <v/>
      </c>
      <c r="G15" s="82" t="n"/>
      <c r="H15" s="82" t="n"/>
      <c r="I15" s="82" t="n"/>
      <c r="J15" s="83" t="n"/>
    </row>
    <row r="16" ht="19.5" customHeight="1" s="164">
      <c r="A16" s="81" t="inlineStr">
        <is>
          <t>Quote Prepared</t>
        </is>
      </c>
      <c r="B16" s="82" t="n"/>
      <c r="C16" s="82" t="n"/>
      <c r="D16" s="82" t="n"/>
      <c r="E16" s="83" t="n"/>
      <c r="F16" s="112">
        <f>TODAY()</f>
        <v/>
      </c>
      <c r="G16" s="82" t="n"/>
      <c r="H16" s="82" t="n"/>
      <c r="I16" s="82" t="n"/>
      <c r="J16" s="83" t="n"/>
    </row>
    <row r="17" ht="7.5" customHeight="1" s="164">
      <c r="A17" s="67" t="n"/>
    </row>
    <row r="18" ht="19.5" customHeight="1" s="164">
      <c r="A18" s="108" t="inlineStr">
        <is>
          <t xml:space="preserve">  PRICING BREAKDOWN</t>
        </is>
      </c>
    </row>
    <row r="19" ht="27.75" customHeight="1" s="164">
      <c r="A19" s="27" t="inlineStr">
        <is>
          <t>#</t>
        </is>
      </c>
      <c r="B19" s="88" t="inlineStr">
        <is>
          <t>Description</t>
        </is>
      </c>
      <c r="C19" s="82" t="n"/>
      <c r="D19" s="82" t="n"/>
      <c r="E19" s="83" t="n"/>
      <c r="F19" s="101" t="inlineStr">
        <is>
          <t>Monthly ($)</t>
        </is>
      </c>
      <c r="G19" s="83" t="n"/>
      <c r="H19" s="101" t="inlineStr">
        <is>
          <t>One-Time / Annual ($)</t>
        </is>
      </c>
      <c r="I19" s="83" t="n"/>
      <c r="J19" s="89" t="n"/>
    </row>
    <row r="20" ht="18" customHeight="1" s="164">
      <c r="A20" s="22" t="inlineStr">
        <is>
          <t>1</t>
        </is>
      </c>
      <c r="B20" s="85">
        <f>"Base Plan — "&amp;'Quote Builder'!D15&amp;" ("&amp;'Quote Builder'!D10&amp;" dispatcher seats)"</f>
        <v/>
      </c>
      <c r="C20" s="82" t="n"/>
      <c r="D20" s="82" t="n"/>
      <c r="E20" s="83" t="n"/>
      <c r="F20" s="87">
        <f>'Quote Builder'!J15</f>
        <v/>
      </c>
      <c r="G20" s="83" t="n"/>
      <c r="H20" s="87">
        <f>'Quote Builder'!J15*12</f>
        <v/>
      </c>
      <c r="I20" s="83" t="n"/>
      <c r="J20" s="124" t="n"/>
    </row>
    <row r="21" ht="18" customHeight="1" s="164">
      <c r="A21" s="22" t="inlineStr">
        <is>
          <t>2</t>
        </is>
      </c>
      <c r="B21" s="86" t="inlineStr">
        <is>
          <t>Dispatcher Seat Overage</t>
        </is>
      </c>
      <c r="C21" s="82" t="n"/>
      <c r="D21" s="82" t="n"/>
      <c r="E21" s="83" t="n"/>
      <c r="F21" s="84">
        <f>IF('Quote Builder'!J17&gt;0,'Quote Builder'!J17,"—")</f>
        <v/>
      </c>
      <c r="G21" s="83" t="n"/>
      <c r="H21" s="84">
        <f>IF('Quote Builder'!J17&gt;0,'Quote Builder'!J17*12,"—")</f>
        <v/>
      </c>
      <c r="I21" s="83" t="n"/>
      <c r="J21" s="137" t="n"/>
    </row>
    <row r="22" ht="18" customHeight="1" s="164">
      <c r="A22" s="22" t="inlineStr">
        <is>
          <t>3</t>
        </is>
      </c>
      <c r="B22" s="85" t="inlineStr">
        <is>
          <t>Admin / Supervisor Seat Overage</t>
        </is>
      </c>
      <c r="C22" s="82" t="n"/>
      <c r="D22" s="82" t="n"/>
      <c r="E22" s="83" t="n"/>
      <c r="F22" s="87">
        <f>IF('Quote Builder'!J18&gt;0,'Quote Builder'!J18,"—")</f>
        <v/>
      </c>
      <c r="G22" s="83" t="n"/>
      <c r="H22" s="87">
        <f>IF('Quote Builder'!J18&gt;0,'Quote Builder'!J18*12,"—")</f>
        <v/>
      </c>
      <c r="I22" s="83" t="n"/>
      <c r="J22" s="124" t="n"/>
    </row>
    <row r="23" ht="18" customHeight="1" s="164">
      <c r="A23" s="22" t="inlineStr">
        <is>
          <t>4</t>
        </is>
      </c>
      <c r="B23" s="86" t="inlineStr">
        <is>
          <t>Setup &amp; Implementation Fee</t>
        </is>
      </c>
      <c r="C23" s="82" t="n"/>
      <c r="D23" s="82" t="n"/>
      <c r="E23" s="83" t="n"/>
      <c r="F23" s="97" t="inlineStr">
        <is>
          <t>—</t>
        </is>
      </c>
      <c r="G23" s="83" t="n"/>
      <c r="H23" s="84">
        <f>'Quote Builder'!J19</f>
        <v/>
      </c>
      <c r="I23" s="83" t="n"/>
      <c r="J23" s="137" t="n"/>
    </row>
    <row r="24" ht="18" customHeight="1" s="164">
      <c r="A24" s="105" t="inlineStr">
        <is>
          <t xml:space="preserve">  ADD-ON MODULES</t>
        </is>
      </c>
      <c r="B24" s="82" t="n"/>
      <c r="C24" s="82" t="n"/>
      <c r="D24" s="82" t="n"/>
      <c r="E24" s="82" t="n"/>
      <c r="F24" s="82" t="n"/>
      <c r="G24" s="82" t="n"/>
      <c r="H24" s="82" t="n"/>
      <c r="I24" s="82" t="n"/>
      <c r="J24" s="83" t="n"/>
    </row>
    <row r="25" ht="18" customHeight="1" s="164">
      <c r="A25" s="22" t="inlineStr">
        <is>
          <t>5</t>
        </is>
      </c>
      <c r="B25" s="86" t="inlineStr">
        <is>
          <t>CAD Integration</t>
        </is>
      </c>
      <c r="C25" s="82" t="n"/>
      <c r="D25" s="82" t="n"/>
      <c r="E25" s="83" t="n"/>
      <c r="F25" s="84">
        <f>IF('Quote Builder'!J25&gt;0,'Quote Builder'!J25,"—")</f>
        <v/>
      </c>
      <c r="G25" s="83" t="n"/>
      <c r="H25" s="84">
        <f>IF('Quote Builder'!J25&gt;0,'Quote Builder'!J25*12,"—")</f>
        <v/>
      </c>
      <c r="I25" s="83" t="n"/>
      <c r="J25" s="137" t="n"/>
    </row>
    <row r="26" ht="18" customHeight="1" s="164">
      <c r="A26" s="22" t="inlineStr">
        <is>
          <t>6</t>
        </is>
      </c>
      <c r="B26" s="85" t="inlineStr">
        <is>
          <t>AI Triage Workflows</t>
        </is>
      </c>
      <c r="C26" s="82" t="n"/>
      <c r="D26" s="82" t="n"/>
      <c r="E26" s="83" t="n"/>
      <c r="F26" s="87">
        <f>IF('Quote Builder'!J26&gt;0,'Quote Builder'!J26,"—")</f>
        <v/>
      </c>
      <c r="G26" s="83" t="n"/>
      <c r="H26" s="87">
        <f>IF('Quote Builder'!J26&gt;0,'Quote Builder'!J26*12,"—")</f>
        <v/>
      </c>
      <c r="I26" s="83" t="n"/>
      <c r="J26" s="124" t="n"/>
    </row>
    <row r="27" ht="18" customHeight="1" s="164">
      <c r="A27" s="22" t="inlineStr">
        <is>
          <t>7</t>
        </is>
      </c>
      <c r="B27" s="86" t="inlineStr">
        <is>
          <t>AI Confidence Scoring</t>
        </is>
      </c>
      <c r="C27" s="82" t="n"/>
      <c r="D27" s="82" t="n"/>
      <c r="E27" s="83" t="n"/>
      <c r="F27" s="84">
        <f>IF('Quote Builder'!J27&gt;0,'Quote Builder'!J27,"—")</f>
        <v/>
      </c>
      <c r="G27" s="83" t="n"/>
      <c r="H27" s="84">
        <f>IF('Quote Builder'!J27&gt;0,'Quote Builder'!J27*12,"—")</f>
        <v/>
      </c>
      <c r="I27" s="83" t="n"/>
      <c r="J27" s="137" t="n"/>
    </row>
    <row r="28" ht="18" customHeight="1" s="164">
      <c r="A28" s="22" t="inlineStr">
        <is>
          <t>8</t>
        </is>
      </c>
      <c r="B28" s="85" t="inlineStr">
        <is>
          <t>AI Incident Summarization</t>
        </is>
      </c>
      <c r="C28" s="82" t="n"/>
      <c r="D28" s="82" t="n"/>
      <c r="E28" s="83" t="n"/>
      <c r="F28" s="87">
        <f>IF('Quote Builder'!J28&gt;0,'Quote Builder'!J28,"—")</f>
        <v/>
      </c>
      <c r="G28" s="83" t="n"/>
      <c r="H28" s="87">
        <f>IF('Quote Builder'!J28&gt;0,'Quote Builder'!J28*12,"—")</f>
        <v/>
      </c>
      <c r="I28" s="83" t="n"/>
      <c r="J28" s="124" t="n"/>
    </row>
    <row r="29" ht="18" customHeight="1" s="164">
      <c r="A29" s="22" t="inlineStr">
        <is>
          <t>9</t>
        </is>
      </c>
      <c r="B29" s="86" t="inlineStr">
        <is>
          <t>AI Dispatcher Recommendation Engine</t>
        </is>
      </c>
      <c r="C29" s="82" t="n"/>
      <c r="D29" s="82" t="n"/>
      <c r="E29" s="83" t="n"/>
      <c r="F29" s="84">
        <f>IF('Quote Builder'!J29&gt;0,'Quote Builder'!J29,"—")</f>
        <v/>
      </c>
      <c r="G29" s="83" t="n"/>
      <c r="H29" s="84">
        <f>IF('Quote Builder'!J29&gt;0,'Quote Builder'!J29*12,"—")</f>
        <v/>
      </c>
      <c r="I29" s="83" t="n"/>
      <c r="J29" s="137" t="n"/>
    </row>
    <row r="30" ht="18" customHeight="1" s="164">
      <c r="A30" s="22" t="inlineStr">
        <is>
          <t>10</t>
        </is>
      </c>
      <c r="B30" s="85" t="inlineStr">
        <is>
          <t>Enhanced Transcription Accuracy</t>
        </is>
      </c>
      <c r="C30" s="82" t="n"/>
      <c r="D30" s="82" t="n"/>
      <c r="E30" s="83" t="n"/>
      <c r="F30" s="87">
        <f>IF('Quote Builder'!J30&gt;0,'Quote Builder'!J30,"—")</f>
        <v/>
      </c>
      <c r="G30" s="83" t="n"/>
      <c r="H30" s="87">
        <f>IF('Quote Builder'!J30&gt;0,'Quote Builder'!J30*12,"—")</f>
        <v/>
      </c>
      <c r="I30" s="83" t="n"/>
      <c r="J30" s="124" t="n"/>
    </row>
    <row r="31" ht="18" customHeight="1" s="164">
      <c r="A31" s="22" t="inlineStr">
        <is>
          <t>11</t>
        </is>
      </c>
      <c r="B31" s="86" t="inlineStr">
        <is>
          <t>Speaker Diarization</t>
        </is>
      </c>
      <c r="C31" s="82" t="n"/>
      <c r="D31" s="82" t="n"/>
      <c r="E31" s="83" t="n"/>
      <c r="F31" s="84">
        <f>IF('Quote Builder'!J31&gt;0,'Quote Builder'!J31,"—")</f>
        <v/>
      </c>
      <c r="G31" s="83" t="n"/>
      <c r="H31" s="84">
        <f>IF('Quote Builder'!J31&gt;0,'Quote Builder'!J31*12,"—")</f>
        <v/>
      </c>
      <c r="I31" s="83" t="n"/>
      <c r="J31" s="137" t="n"/>
    </row>
    <row r="32" ht="18" customHeight="1" s="164">
      <c r="A32" s="22" t="inlineStr">
        <is>
          <t>12</t>
        </is>
      </c>
      <c r="B32" s="85" t="inlineStr">
        <is>
          <t>Live Translation</t>
        </is>
      </c>
      <c r="C32" s="82" t="n"/>
      <c r="D32" s="82" t="n"/>
      <c r="E32" s="83" t="n"/>
      <c r="F32" s="87">
        <f>IF('Quote Builder'!J32&gt;0,'Quote Builder'!J32,"—")</f>
        <v/>
      </c>
      <c r="G32" s="83" t="n"/>
      <c r="H32" s="87">
        <f>IF('Quote Builder'!J32&gt;0,'Quote Builder'!J32*12,"—")</f>
        <v/>
      </c>
      <c r="I32" s="83" t="n"/>
      <c r="J32" s="124" t="n"/>
    </row>
    <row r="33" ht="18" customHeight="1" s="164">
      <c r="A33" s="22" t="inlineStr">
        <is>
          <t>13</t>
        </is>
      </c>
      <c r="B33" s="86" t="inlineStr">
        <is>
          <t>Language Packs</t>
        </is>
      </c>
      <c r="C33" s="82" t="n"/>
      <c r="D33" s="82" t="n"/>
      <c r="E33" s="83" t="n"/>
      <c r="F33" s="84">
        <f>IF('Quote Builder'!J33&gt;0,'Quote Builder'!J33,"—")</f>
        <v/>
      </c>
      <c r="G33" s="83" t="n"/>
      <c r="H33" s="84">
        <f>IF('Quote Builder'!J33&gt;0,'Quote Builder'!J33*12,"—")</f>
        <v/>
      </c>
      <c r="I33" s="83" t="n"/>
      <c r="J33" s="137" t="n"/>
    </row>
    <row r="34" ht="18" customHeight="1" s="164">
      <c r="A34" s="22" t="inlineStr">
        <is>
          <t>14</t>
        </is>
      </c>
      <c r="B34" s="85" t="inlineStr">
        <is>
          <t>Caller SMS Link Generation</t>
        </is>
      </c>
      <c r="C34" s="82" t="n"/>
      <c r="D34" s="82" t="n"/>
      <c r="E34" s="83" t="n"/>
      <c r="F34" s="87">
        <f>IF('Quote Builder'!J34&gt;0,'Quote Builder'!J34,"—")</f>
        <v/>
      </c>
      <c r="G34" s="83" t="n"/>
      <c r="H34" s="87">
        <f>IF('Quote Builder'!J34&gt;0,'Quote Builder'!J34*12,"—")</f>
        <v/>
      </c>
      <c r="I34" s="83" t="n"/>
      <c r="J34" s="124" t="n"/>
    </row>
    <row r="35" ht="18" customHeight="1" s="164">
      <c r="A35" s="22" t="inlineStr">
        <is>
          <t>15</t>
        </is>
      </c>
      <c r="B35" s="86" t="inlineStr">
        <is>
          <t>Caller Photo Upload</t>
        </is>
      </c>
      <c r="C35" s="82" t="n"/>
      <c r="D35" s="82" t="n"/>
      <c r="E35" s="83" t="n"/>
      <c r="F35" s="84">
        <f>IF('Quote Builder'!J35&gt;0,'Quote Builder'!J35,"—")</f>
        <v/>
      </c>
      <c r="G35" s="83" t="n"/>
      <c r="H35" s="84">
        <f>IF('Quote Builder'!J35&gt;0,'Quote Builder'!J35*12,"—")</f>
        <v/>
      </c>
      <c r="I35" s="83" t="n"/>
      <c r="J35" s="137" t="n"/>
    </row>
    <row r="36" ht="18" customHeight="1" s="164">
      <c r="A36" s="22" t="inlineStr">
        <is>
          <t>16</t>
        </is>
      </c>
      <c r="B36" s="85" t="inlineStr">
        <is>
          <t>Caller Video Upload</t>
        </is>
      </c>
      <c r="C36" s="82" t="n"/>
      <c r="D36" s="82" t="n"/>
      <c r="E36" s="83" t="n"/>
      <c r="F36" s="87">
        <f>IF('Quote Builder'!J36&gt;0,'Quote Builder'!J36,"—")</f>
        <v/>
      </c>
      <c r="G36" s="83" t="n"/>
      <c r="H36" s="87">
        <f>IF('Quote Builder'!J36&gt;0,'Quote Builder'!J36*12,"—")</f>
        <v/>
      </c>
      <c r="I36" s="83" t="n"/>
      <c r="J36" s="124" t="n"/>
    </row>
    <row r="37" ht="18" customHeight="1" s="164">
      <c r="A37" s="22" t="inlineStr">
        <is>
          <t>17</t>
        </is>
      </c>
      <c r="B37" s="86" t="inlineStr">
        <is>
          <t>Live Caller Video Streaming</t>
        </is>
      </c>
      <c r="C37" s="82" t="n"/>
      <c r="D37" s="82" t="n"/>
      <c r="E37" s="83" t="n"/>
      <c r="F37" s="84">
        <f>IF('Quote Builder'!J37&gt;0,'Quote Builder'!J37,"—")</f>
        <v/>
      </c>
      <c r="G37" s="83" t="n"/>
      <c r="H37" s="84">
        <f>IF('Quote Builder'!J37&gt;0,'Quote Builder'!J37*12,"—")</f>
        <v/>
      </c>
      <c r="I37" s="83" t="n"/>
      <c r="J37" s="137" t="n"/>
    </row>
    <row r="38" ht="18" customHeight="1" s="164">
      <c r="A38" s="22" t="inlineStr">
        <is>
          <t>18</t>
        </is>
      </c>
      <c r="B38" s="85" t="inlineStr">
        <is>
          <t>Media Audit Trail &amp; Redaction</t>
        </is>
      </c>
      <c r="C38" s="82" t="n"/>
      <c r="D38" s="82" t="n"/>
      <c r="E38" s="83" t="n"/>
      <c r="F38" s="87">
        <f>IF('Quote Builder'!J38&gt;0,'Quote Builder'!J38,"—")</f>
        <v/>
      </c>
      <c r="G38" s="83" t="n"/>
      <c r="H38" s="87">
        <f>IF('Quote Builder'!J38&gt;0,'Quote Builder'!J38*12,"—")</f>
        <v/>
      </c>
      <c r="I38" s="83" t="n"/>
      <c r="J38" s="124" t="n"/>
    </row>
    <row r="39" ht="18" customHeight="1" s="164">
      <c r="A39" s="22" t="inlineStr">
        <is>
          <t>19</t>
        </is>
      </c>
      <c r="B39" s="86" t="inlineStr">
        <is>
          <t>QA Review Tools</t>
        </is>
      </c>
      <c r="C39" s="82" t="n"/>
      <c r="D39" s="82" t="n"/>
      <c r="E39" s="83" t="n"/>
      <c r="F39" s="84">
        <f>IF('Quote Builder'!J39&gt;0,'Quote Builder'!J39,"—")</f>
        <v/>
      </c>
      <c r="G39" s="83" t="n"/>
      <c r="H39" s="84">
        <f>IF('Quote Builder'!J39&gt;0,'Quote Builder'!J39*12,"—")</f>
        <v/>
      </c>
      <c r="I39" s="83" t="n"/>
      <c r="J39" s="137" t="n"/>
    </row>
    <row r="40" ht="18" customHeight="1" s="164">
      <c r="A40" s="22" t="inlineStr">
        <is>
          <t>20</t>
        </is>
      </c>
      <c r="B40" s="85" t="inlineStr">
        <is>
          <t>Team Performance Dashboards</t>
        </is>
      </c>
      <c r="C40" s="82" t="n"/>
      <c r="D40" s="82" t="n"/>
      <c r="E40" s="83" t="n"/>
      <c r="F40" s="87">
        <f>IF('Quote Builder'!J40&gt;0,'Quote Builder'!J40,"—")</f>
        <v/>
      </c>
      <c r="G40" s="83" t="n"/>
      <c r="H40" s="87">
        <f>IF('Quote Builder'!J40&gt;0,'Quote Builder'!J40*12,"—")</f>
        <v/>
      </c>
      <c r="I40" s="83" t="n"/>
      <c r="J40" s="124" t="n"/>
    </row>
    <row r="41" ht="18" customHeight="1" s="164">
      <c r="A41" s="22" t="inlineStr">
        <is>
          <t>21</t>
        </is>
      </c>
      <c r="B41" s="86" t="inlineStr">
        <is>
          <t>Incident Command Suite</t>
        </is>
      </c>
      <c r="C41" s="82" t="n"/>
      <c r="D41" s="82" t="n"/>
      <c r="E41" s="83" t="n"/>
      <c r="F41" s="84">
        <f>IF('Quote Builder'!J41&gt;0,'Quote Builder'!J41,"—")</f>
        <v/>
      </c>
      <c r="G41" s="83" t="n"/>
      <c r="H41" s="84">
        <f>IF('Quote Builder'!J41&gt;0,'Quote Builder'!J41*12,"—")</f>
        <v/>
      </c>
      <c r="I41" s="83" t="n"/>
      <c r="J41" s="137" t="n"/>
    </row>
    <row r="42" ht="18" customHeight="1" s="164">
      <c r="A42" s="22" t="inlineStr">
        <is>
          <t>22</t>
        </is>
      </c>
      <c r="B42" s="85" t="inlineStr">
        <is>
          <t>Reliability &amp; Tech Ops</t>
        </is>
      </c>
      <c r="C42" s="82" t="n"/>
      <c r="D42" s="82" t="n"/>
      <c r="E42" s="83" t="n"/>
      <c r="F42" s="87">
        <f>IF('Quote Builder'!J42&gt;0,'Quote Builder'!J42,"—")</f>
        <v/>
      </c>
      <c r="G42" s="83" t="n"/>
      <c r="H42" s="87">
        <f>IF('Quote Builder'!J42&gt;0,'Quote Builder'!J42*12,"—")</f>
        <v/>
      </c>
      <c r="I42" s="83" t="n"/>
      <c r="J42" s="124" t="n"/>
    </row>
    <row r="43" ht="18" customHeight="1" s="164">
      <c r="A43" s="22" t="inlineStr">
        <is>
          <t>23</t>
        </is>
      </c>
      <c r="B43" s="86" t="inlineStr">
        <is>
          <t>Support Package Upgrade</t>
        </is>
      </c>
      <c r="C43" s="82" t="n"/>
      <c r="D43" s="82" t="n"/>
      <c r="E43" s="83" t="n"/>
      <c r="F43" s="84">
        <f>IF('Quote Builder'!J43&gt;0,'Quote Builder'!J43,"—")</f>
        <v/>
      </c>
      <c r="G43" s="83" t="n"/>
      <c r="H43" s="84">
        <f>IF('Quote Builder'!J43&gt;0,'Quote Builder'!J43*12,"—")</f>
        <v/>
      </c>
      <c r="I43" s="83" t="n"/>
      <c r="J43" s="137" t="n"/>
    </row>
    <row r="44" ht="18" customHeight="1" s="164">
      <c r="A44" s="22" t="inlineStr">
        <is>
          <t>24</t>
        </is>
      </c>
      <c r="B44" s="85" t="inlineStr">
        <is>
          <t>Onsite Services</t>
        </is>
      </c>
      <c r="C44" s="82" t="n"/>
      <c r="D44" s="82" t="n"/>
      <c r="E44" s="83" t="n"/>
      <c r="F44" s="109" t="inlineStr">
        <is>
          <t>—</t>
        </is>
      </c>
      <c r="G44" s="83" t="n"/>
      <c r="H44" s="87">
        <f>IF('Quote Builder'!J44&gt;0,'Quote Builder'!J44,"—")</f>
        <v/>
      </c>
      <c r="I44" s="83" t="n"/>
      <c r="J44" s="124" t="n"/>
    </row>
    <row r="45" ht="18" customHeight="1" s="164">
      <c r="A45" s="22" t="inlineStr">
        <is>
          <t>25</t>
        </is>
      </c>
      <c r="B45" s="86" t="inlineStr">
        <is>
          <t>Training Package</t>
        </is>
      </c>
      <c r="C45" s="82" t="n"/>
      <c r="D45" s="82" t="n"/>
      <c r="E45" s="83" t="n"/>
      <c r="F45" s="97" t="inlineStr">
        <is>
          <t>—</t>
        </is>
      </c>
      <c r="G45" s="83" t="n"/>
      <c r="H45" s="84">
        <f>IF('Quote Builder'!J45&gt;0,'Quote Builder'!J45,"—")</f>
        <v/>
      </c>
      <c r="I45" s="83" t="n"/>
      <c r="J45" s="137" t="n"/>
    </row>
    <row r="46" ht="18" customHeight="1" s="164">
      <c r="A46" s="22" t="n">
        <v>26</v>
      </c>
      <c r="B46" s="86" t="inlineStr">
        <is>
          <t>Call Assist (non-emergency)</t>
        </is>
      </c>
      <c r="C46" s="82" t="n"/>
      <c r="D46" s="82" t="n"/>
      <c r="E46" s="83" t="n"/>
      <c r="F46" s="84">
        <f>IF('Quote Builder'!J46&gt;0,'Quote Builder'!J46,"—")</f>
        <v/>
      </c>
      <c r="G46" s="83" t="n"/>
      <c r="H46" s="84">
        <f>IF('Quote Builder'!J46&gt;0,'Quote Builder'!J46*12,"—")</f>
        <v/>
      </c>
      <c r="I46" s="83" t="n"/>
      <c r="J46" s="137" t="n"/>
    </row>
    <row r="47" ht="18" customHeight="1" s="164">
      <c r="A47" s="22" t="n">
        <v>27</v>
      </c>
      <c r="B47" s="86" t="inlineStr">
        <is>
          <t>NexIQ Vision™</t>
        </is>
      </c>
      <c r="C47" s="82" t="n"/>
      <c r="D47" s="82" t="n"/>
      <c r="E47" s="83" t="n"/>
      <c r="F47" s="84">
        <f>IF('Quote Builder'!J47&gt;0,'Quote Builder'!J47,"—")</f>
        <v/>
      </c>
      <c r="G47" s="83" t="n"/>
      <c r="H47" s="84">
        <f>IF('Quote Builder'!J47&gt;0,'Quote Builder'!J47*12,"—")</f>
        <v/>
      </c>
      <c r="I47" s="83" t="n"/>
      <c r="J47" s="137" t="n"/>
    </row>
    <row r="48" ht="18" customHeight="1" s="164">
      <c r="A48" s="22" t="n">
        <v>28</v>
      </c>
      <c r="B48" s="86" t="inlineStr">
        <is>
          <t>iQ Reporting</t>
        </is>
      </c>
      <c r="C48" s="82" t="n"/>
      <c r="D48" s="82" t="n"/>
      <c r="E48" s="83" t="n"/>
      <c r="F48" s="84">
        <f>IF('Quote Builder'!J48&gt;0,'Quote Builder'!J48,"—")</f>
        <v/>
      </c>
      <c r="G48" s="83" t="n"/>
      <c r="H48" s="84">
        <f>IF('Quote Builder'!J48&gt;0,'Quote Builder'!J48*12,"—")</f>
        <v/>
      </c>
      <c r="I48" s="83" t="n"/>
      <c r="J48" s="137" t="n"/>
    </row>
    <row r="49" ht="18" customHeight="1" s="164">
      <c r="A49" s="22" t="n">
        <v>29</v>
      </c>
      <c r="B49" s="86" t="inlineStr">
        <is>
          <t>Command Intelligence</t>
        </is>
      </c>
      <c r="C49" s="82" t="n"/>
      <c r="D49" s="82" t="n"/>
      <c r="E49" s="83" t="n"/>
      <c r="F49" s="84">
        <f>IF('Quote Builder'!J49&gt;0,'Quote Builder'!J49,"—")</f>
        <v/>
      </c>
      <c r="G49" s="83" t="n"/>
      <c r="H49" s="84">
        <f>IF('Quote Builder'!J49&gt;0,'Quote Builder'!J49*12,"—")</f>
        <v/>
      </c>
      <c r="I49" s="83" t="n"/>
      <c r="J49" s="137" t="n"/>
    </row>
    <row r="50" ht="18" customHeight="1" s="164">
      <c r="A50" s="22" t="n">
        <v>30</v>
      </c>
      <c r="B50" s="86" t="inlineStr">
        <is>
          <t>NexiQ Vault</t>
        </is>
      </c>
      <c r="C50" s="82" t="n"/>
      <c r="D50" s="82" t="n"/>
      <c r="E50" s="83" t="n"/>
      <c r="F50" s="84">
        <f>IF('Quote Builder'!J50&gt;0,'Quote Builder'!J50,"—")</f>
        <v/>
      </c>
      <c r="G50" s="83" t="n"/>
      <c r="H50" s="84">
        <f>IF('Quote Builder'!J50&gt;0,'Quote Builder'!J50*12,"—")</f>
        <v/>
      </c>
      <c r="I50" s="83" t="n"/>
      <c r="J50" s="137" t="n"/>
    </row>
    <row r="51" ht="18" customHeight="1" s="164">
      <c r="A51" s="22" t="n">
        <v>31</v>
      </c>
      <c r="B51" s="86" t="inlineStr">
        <is>
          <t>Response Continuity (RCS)</t>
        </is>
      </c>
      <c r="C51" s="82" t="n"/>
      <c r="D51" s="82" t="n"/>
      <c r="E51" s="83" t="n"/>
      <c r="F51" s="84">
        <f>IF('Quote Builder'!J51&gt;0,'Quote Builder'!J51,"—")</f>
        <v/>
      </c>
      <c r="G51" s="83" t="n"/>
      <c r="H51" s="84">
        <f>IF('Quote Builder'!J51&gt;0,'Quote Builder'!J51*12,"—")</f>
        <v/>
      </c>
      <c r="I51" s="83" t="n"/>
      <c r="J51" s="137" t="n"/>
    </row>
    <row r="52" ht="18" customHeight="1" s="164">
      <c r="A52" s="22" t="n">
        <v>32</v>
      </c>
      <c r="B52" s="86" t="inlineStr">
        <is>
          <t>CAD-to-CAD mesh / Multi-CAD</t>
        </is>
      </c>
      <c r="C52" s="82" t="n"/>
      <c r="D52" s="82" t="n"/>
      <c r="E52" s="83" t="n"/>
      <c r="F52" s="84">
        <f>IF('Quote Builder'!J52&gt;0,'Quote Builder'!J52,"—")</f>
        <v/>
      </c>
      <c r="G52" s="83" t="n"/>
      <c r="H52" s="84">
        <f>IF('Quote Builder'!J52&gt;0,'Quote Builder'!J52*12,"—")</f>
        <v/>
      </c>
      <c r="I52" s="83" t="n"/>
      <c r="J52" s="137" t="n"/>
    </row>
    <row r="53" ht="18" customHeight="1" s="164">
      <c r="A53" s="22" t="n">
        <v>33</v>
      </c>
      <c r="B53" s="86" t="inlineStr">
        <is>
          <t>Emergency Alert Broadcast</t>
        </is>
      </c>
      <c r="C53" s="82" t="n"/>
      <c r="D53" s="82" t="n"/>
      <c r="E53" s="83" t="n"/>
      <c r="F53" s="84">
        <f>IF('Quote Builder'!J53&gt;0,'Quote Builder'!J53,"—")</f>
        <v/>
      </c>
      <c r="G53" s="83" t="n"/>
      <c r="H53" s="84">
        <f>IF('Quote Builder'!J53&gt;0,'Quote Builder'!J53*12,"—")</f>
        <v/>
      </c>
      <c r="I53" s="83" t="n"/>
      <c r="J53" s="137" t="n"/>
    </row>
    <row r="54" ht="18" customHeight="1" s="164">
      <c r="A54" s="22" t="n">
        <v>34</v>
      </c>
      <c r="B54" s="86" t="inlineStr">
        <is>
          <t>NexCort Translate (ops / field)</t>
        </is>
      </c>
      <c r="C54" s="82" t="n"/>
      <c r="D54" s="82" t="n"/>
      <c r="E54" s="83" t="n"/>
      <c r="F54" s="84">
        <f>IF('Quote Builder'!J54&gt;0,'Quote Builder'!J54,"—")</f>
        <v/>
      </c>
      <c r="G54" s="83" t="n"/>
      <c r="H54" s="84">
        <f>IF('Quote Builder'!J54&gt;0,'Quote Builder'!J54*12,"—")</f>
        <v/>
      </c>
      <c r="I54" s="83" t="n"/>
      <c r="J54" s="137" t="n"/>
    </row>
    <row r="55" ht="18" customHeight="1" s="164">
      <c r="A55" s="22" t="n">
        <v>35</v>
      </c>
      <c r="B55" s="86" t="inlineStr">
        <is>
          <t>NG911 Assist</t>
        </is>
      </c>
      <c r="C55" s="82" t="n"/>
      <c r="D55" s="82" t="n"/>
      <c r="E55" s="83" t="n"/>
      <c r="F55" s="84">
        <f>IF('Quote Builder'!J55&gt;0,'Quote Builder'!J55,"—")</f>
        <v/>
      </c>
      <c r="G55" s="83" t="n"/>
      <c r="H55" s="84">
        <f>IF('Quote Builder'!J55&gt;0,'Quote Builder'!J55*12,"—")</f>
        <v/>
      </c>
      <c r="I55" s="83" t="n"/>
      <c r="J55" s="137" t="n"/>
    </row>
    <row r="56" ht="15.75" customHeight="1" s="164">
      <c r="A56" s="98" t="n"/>
    </row>
    <row r="57" ht="18" customHeight="1" s="164">
      <c r="A57" s="28" t="n"/>
      <c r="B57" s="85" t="inlineStr">
        <is>
          <t>Subtotal — Monthly Recurring</t>
        </is>
      </c>
      <c r="C57" s="82" t="n"/>
      <c r="D57" s="82" t="n"/>
      <c r="E57" s="83" t="n"/>
      <c r="F57" s="87">
        <f>'Quote Builder'!J15+'Quote Builder'!J17+'Quote Builder'!J18+SUMPRODUCT(('Quote Builder'!J26:J43)*1)+SUMPRODUCT(('Quote Builder'!J46:J55)*1)</f>
        <v/>
      </c>
      <c r="G57" s="83" t="n"/>
      <c r="H57" s="87">
        <f>('Quote Builder'!J15+'Quote Builder'!J17+'Quote Builder'!J18+SUMPRODUCT(('Quote Builder'!J26:J43)*1)+SUMPRODUCT(('Quote Builder'!J46:J55)*1))*12</f>
        <v/>
      </c>
      <c r="I57" s="83" t="n"/>
      <c r="J57" s="124" t="n"/>
    </row>
    <row r="58" ht="18" customHeight="1" s="164">
      <c r="A58" s="29" t="n"/>
      <c r="B58" s="86" t="inlineStr">
        <is>
          <t>Subtotal — One-Time Fees</t>
        </is>
      </c>
      <c r="C58" s="82" t="n"/>
      <c r="D58" s="82" t="n"/>
      <c r="E58" s="83" t="n"/>
      <c r="F58" s="97" t="inlineStr">
        <is>
          <t>—</t>
        </is>
      </c>
      <c r="G58" s="83" t="n"/>
      <c r="H58" s="84">
        <f>'Quote Builder'!J19+'Quote Builder'!J25+'Quote Builder'!J44+'Quote Builder'!J45</f>
        <v/>
      </c>
      <c r="I58" s="83" t="n"/>
      <c r="J58" s="137" t="n"/>
    </row>
    <row r="59" ht="21.75" customHeight="1" s="164">
      <c r="A59" s="124" t="n"/>
      <c r="B59" s="115">
        <f>IF(MAX('Quote Builder'!F16,'Quote Builder'!D22)&gt;0,"Discount ("&amp;TEXT(MAX('Quote Builder'!F16,'Quote Builder'!D22),"0%")&amp;") Applied","No Discount")</f>
        <v/>
      </c>
      <c r="C59" s="82" t="n"/>
      <c r="D59" s="82" t="n"/>
      <c r="E59" s="83" t="n"/>
      <c r="F59" s="114">
        <f>IFERROR(-F57*MAX('Quote Builder'!F16,'Quote Builder'!D22),0)</f>
        <v/>
      </c>
      <c r="G59" s="83" t="n"/>
      <c r="H59" s="114">
        <f>IFERROR(-H58*MAX('Quote Builder'!F16,'Quote Builder'!D22),0)</f>
        <v/>
      </c>
      <c r="I59" s="83" t="n"/>
      <c r="J59" s="30" t="n"/>
    </row>
    <row r="60" ht="6" customHeight="1" s="164">
      <c r="A60" s="106" t="n"/>
      <c r="B60" s="82" t="n"/>
      <c r="C60" s="82" t="n"/>
      <c r="D60" s="82" t="n"/>
      <c r="E60" s="82" t="n"/>
      <c r="F60" s="82" t="n"/>
      <c r="G60" s="82" t="n"/>
      <c r="H60" s="82" t="n"/>
      <c r="I60" s="82" t="n"/>
      <c r="J60" s="83" t="n"/>
    </row>
    <row r="61" ht="21.75" customHeight="1" s="164">
      <c r="A61" s="31" t="n"/>
      <c r="B61" s="107" t="inlineStr">
        <is>
          <t>★  TOTAL MONTHLY</t>
        </is>
      </c>
      <c r="C61" s="82" t="n"/>
      <c r="D61" s="82" t="n"/>
      <c r="E61" s="83" t="n"/>
      <c r="F61" s="99">
        <f>F57+F59</f>
        <v/>
      </c>
      <c r="G61" s="83" t="n"/>
      <c r="H61" s="99">
        <f>(F57+F59)*12</f>
        <v/>
      </c>
      <c r="I61" s="83" t="n"/>
      <c r="J61" s="152" t="n"/>
    </row>
    <row r="62" ht="21.75" customHeight="1" s="164">
      <c r="A62" s="31" t="n"/>
      <c r="B62" s="107" t="inlineStr">
        <is>
          <t>★  TOTAL ONE-TIME FEES</t>
        </is>
      </c>
      <c r="C62" s="82" t="n"/>
      <c r="D62" s="82" t="n"/>
      <c r="E62" s="83" t="n"/>
      <c r="F62" s="102" t="inlineStr">
        <is>
          <t>—</t>
        </is>
      </c>
      <c r="G62" s="83" t="n"/>
      <c r="H62" s="99">
        <f>H58+H59</f>
        <v/>
      </c>
      <c r="I62" s="83" t="n"/>
      <c r="J62" s="152" t="n"/>
    </row>
    <row r="63" ht="21.75" customHeight="1" s="164">
      <c r="A63" s="31" t="n"/>
      <c r="B63" s="107" t="inlineStr">
        <is>
          <t>★  ESTIMATED ANNUAL INVESTMENT</t>
        </is>
      </c>
      <c r="C63" s="82" t="n"/>
      <c r="D63" s="82" t="n"/>
      <c r="E63" s="83" t="n"/>
      <c r="F63" s="102" t="inlineStr">
        <is>
          <t>—</t>
        </is>
      </c>
      <c r="G63" s="83" t="n"/>
      <c r="H63" s="99">
        <f>(F57+F59)*12+(H58+H59)</f>
        <v/>
      </c>
      <c r="I63" s="83" t="n"/>
      <c r="J63" s="152" t="n"/>
    </row>
    <row r="64" ht="7.5" customHeight="1" s="164">
      <c r="A64" s="106" t="n"/>
      <c r="B64" s="82" t="n"/>
      <c r="C64" s="82" t="n"/>
      <c r="D64" s="82" t="n"/>
      <c r="E64" s="82" t="n"/>
      <c r="F64" s="82" t="n"/>
      <c r="G64" s="82" t="n"/>
      <c r="H64" s="82" t="n"/>
      <c r="I64" s="82" t="n"/>
      <c r="J64" s="83" t="n"/>
    </row>
    <row r="65" ht="19.5" customHeight="1" s="164">
      <c r="A65" s="108" t="inlineStr">
        <is>
          <t xml:space="preserve">  TERMS &amp; NEXT STEPS</t>
        </is>
      </c>
    </row>
    <row r="66" ht="15.75" customHeight="1" s="164">
      <c r="A66" s="98" t="inlineStr">
        <is>
          <t>• This proposal is valid for 30 days from the date of issue.</t>
        </is>
      </c>
      <c r="B66" s="82" t="n"/>
      <c r="C66" s="82" t="n"/>
      <c r="D66" s="82" t="n"/>
      <c r="E66" s="82" t="n"/>
      <c r="F66" s="82" t="n"/>
      <c r="G66" s="82" t="n"/>
      <c r="H66" s="82" t="n"/>
      <c r="I66" s="82" t="n"/>
      <c r="J66" s="83" t="n"/>
    </row>
    <row r="67" ht="15.75" customHeight="1" s="164">
      <c r="A67" s="98" t="inlineStr">
        <is>
          <t>• Pricing is based on the selections above. Final contract subject to signed MSA and SOW.</t>
        </is>
      </c>
      <c r="B67" s="82" t="n"/>
      <c r="C67" s="82" t="n"/>
      <c r="D67" s="82" t="n"/>
      <c r="E67" s="82" t="n"/>
      <c r="F67" s="82" t="n"/>
      <c r="G67" s="82" t="n"/>
      <c r="H67" s="82" t="n"/>
      <c r="I67" s="82" t="n"/>
      <c r="J67" s="83" t="n"/>
    </row>
    <row r="68" ht="15.75" customHeight="1" s="164">
      <c r="A68" s="98" t="inlineStr">
        <is>
          <t>• CAD integration scoped separately after discovery. Write-back not included in pilot base.</t>
        </is>
      </c>
      <c r="B68" s="82" t="n"/>
      <c r="C68" s="82" t="n"/>
      <c r="D68" s="82" t="n"/>
      <c r="E68" s="82" t="n"/>
      <c r="F68" s="82" t="n"/>
      <c r="G68" s="82" t="n"/>
      <c r="H68" s="82" t="n"/>
      <c r="I68" s="82" t="n"/>
      <c r="J68" s="83" t="n"/>
    </row>
    <row r="69" ht="15.75" customHeight="1" s="164">
      <c r="A69" s="98" t="inlineStr">
        <is>
          <t>• Travel for onsite services billed separately at federal GSA rates.</t>
        </is>
      </c>
      <c r="B69" s="82" t="n"/>
      <c r="C69" s="82" t="n"/>
      <c r="D69" s="82" t="n"/>
      <c r="E69" s="82" t="n"/>
      <c r="F69" s="82" t="n"/>
      <c r="G69" s="82" t="n"/>
      <c r="H69" s="82" t="n"/>
      <c r="I69" s="82" t="n"/>
      <c r="J69" s="83" t="n"/>
    </row>
    <row r="70" ht="15.75" customHeight="1" s="164">
      <c r="A70" s="98" t="inlineStr">
        <is>
          <t>• All fees are in USD. Government tax exemption honored upon receipt of certificate.</t>
        </is>
      </c>
      <c r="B70" s="82" t="n"/>
      <c r="C70" s="82" t="n"/>
      <c r="D70" s="82" t="n"/>
      <c r="E70" s="82" t="n"/>
      <c r="F70" s="82" t="n"/>
      <c r="G70" s="82" t="n"/>
      <c r="H70" s="82" t="n"/>
      <c r="I70" s="82" t="n"/>
      <c r="J70" s="83" t="n"/>
    </row>
    <row r="71" ht="15.75" customHeight="1" s="164">
      <c r="A71" s="98" t="inlineStr">
        <is>
          <t>• To proceed: return signed Pilot Scope Agreement or contact your NexCort iQ representative.</t>
        </is>
      </c>
      <c r="B71" s="82" t="n"/>
      <c r="C71" s="82" t="n"/>
      <c r="D71" s="82" t="n"/>
      <c r="E71" s="82" t="n"/>
      <c r="F71" s="82" t="n"/>
      <c r="G71" s="82" t="n"/>
      <c r="H71" s="82" t="n"/>
      <c r="I71" s="82" t="n"/>
      <c r="J71" s="83" t="n"/>
    </row>
    <row r="72" ht="7.5" customHeight="1" s="164">
      <c r="A72" s="106" t="n"/>
      <c r="B72" s="82" t="n"/>
      <c r="C72" s="82" t="n"/>
      <c r="D72" s="82" t="n"/>
      <c r="E72" s="82" t="n"/>
      <c r="F72" s="82" t="n"/>
      <c r="G72" s="82" t="n"/>
      <c r="H72" s="82" t="n"/>
      <c r="I72" s="82" t="n"/>
      <c r="J72" s="83" t="n"/>
    </row>
    <row r="73" ht="18" customHeight="1" s="164">
      <c r="A73" s="104" t="inlineStr">
        <is>
          <t>NexCort iQ  |  Apps on Demand LLC  |  intelligence@rapidcortex.us  |  rapidcortex.us  |  CONFIDENTIAL — NOT FOR DISTRIBUTION</t>
        </is>
      </c>
    </row>
  </sheetData>
  <mergeCells count="157">
    <mergeCell ref="H53:I53"/>
    <mergeCell ref="H35:I35"/>
    <mergeCell ref="F29:G29"/>
    <mergeCell ref="F25:G25"/>
    <mergeCell ref="A11:E11"/>
    <mergeCell ref="H55:I55"/>
    <mergeCell ref="B36:E36"/>
    <mergeCell ref="H39:I39"/>
    <mergeCell ref="B45:E45"/>
    <mergeCell ref="B47:E47"/>
    <mergeCell ref="H52:I52"/>
    <mergeCell ref="B22:E22"/>
    <mergeCell ref="A1:C4"/>
    <mergeCell ref="B31:E31"/>
    <mergeCell ref="H45:I45"/>
    <mergeCell ref="B21:E21"/>
    <mergeCell ref="F23:G23"/>
    <mergeCell ref="A69:J69"/>
    <mergeCell ref="B39:E39"/>
    <mergeCell ref="H37:I37"/>
    <mergeCell ref="A66:J66"/>
    <mergeCell ref="F43:G43"/>
    <mergeCell ref="B23:E23"/>
    <mergeCell ref="H62:I62"/>
    <mergeCell ref="B38:E38"/>
    <mergeCell ref="H23:I23"/>
    <mergeCell ref="F57:G57"/>
    <mergeCell ref="A5:J5"/>
    <mergeCell ref="B40:E40"/>
    <mergeCell ref="B49:E49"/>
    <mergeCell ref="F54:G54"/>
    <mergeCell ref="H54:I54"/>
    <mergeCell ref="F19:G19"/>
    <mergeCell ref="F34:G34"/>
    <mergeCell ref="F63:G63"/>
    <mergeCell ref="H63:I63"/>
    <mergeCell ref="B33:E33"/>
    <mergeCell ref="H41:I41"/>
    <mergeCell ref="H50:I50"/>
    <mergeCell ref="B51:E51"/>
    <mergeCell ref="B32:E32"/>
    <mergeCell ref="B63:E63"/>
    <mergeCell ref="H25:I25"/>
    <mergeCell ref="B41:E41"/>
    <mergeCell ref="B26:E26"/>
    <mergeCell ref="H34:I34"/>
    <mergeCell ref="B35:E35"/>
    <mergeCell ref="B50:E50"/>
    <mergeCell ref="F30:G30"/>
    <mergeCell ref="A67:J67"/>
    <mergeCell ref="F20:G20"/>
    <mergeCell ref="F33:G33"/>
    <mergeCell ref="F45:G45"/>
    <mergeCell ref="H49:I49"/>
    <mergeCell ref="B25:E25"/>
    <mergeCell ref="F42:G42"/>
    <mergeCell ref="A24:J24"/>
    <mergeCell ref="A73:J73"/>
    <mergeCell ref="H36:I36"/>
    <mergeCell ref="A60:J60"/>
    <mergeCell ref="A12:E12"/>
    <mergeCell ref="B27:E27"/>
    <mergeCell ref="F47:G47"/>
    <mergeCell ref="F62:G62"/>
    <mergeCell ref="F31:G31"/>
    <mergeCell ref="F46:G46"/>
    <mergeCell ref="A7:J7"/>
    <mergeCell ref="F28:G28"/>
    <mergeCell ref="H19:I19"/>
    <mergeCell ref="H28:I28"/>
    <mergeCell ref="A14:E14"/>
    <mergeCell ref="F61:G61"/>
    <mergeCell ref="F39:G39"/>
    <mergeCell ref="B61:E61"/>
    <mergeCell ref="F48:G48"/>
    <mergeCell ref="B53:E53"/>
    <mergeCell ref="H48:I48"/>
    <mergeCell ref="A18:J18"/>
    <mergeCell ref="B29:E29"/>
    <mergeCell ref="F44:G44"/>
    <mergeCell ref="B37:E37"/>
    <mergeCell ref="F14:J14"/>
    <mergeCell ref="H38:I38"/>
    <mergeCell ref="F11:J11"/>
    <mergeCell ref="H43:I43"/>
    <mergeCell ref="B55:E55"/>
    <mergeCell ref="H31:I31"/>
    <mergeCell ref="A72:J72"/>
    <mergeCell ref="H58:I58"/>
    <mergeCell ref="H40:I40"/>
    <mergeCell ref="F21:G21"/>
    <mergeCell ref="H21:I21"/>
    <mergeCell ref="F15:J15"/>
    <mergeCell ref="F53:G53"/>
    <mergeCell ref="F12:J12"/>
    <mergeCell ref="A16:E16"/>
    <mergeCell ref="B54:E54"/>
    <mergeCell ref="F36:G36"/>
    <mergeCell ref="F50:G50"/>
    <mergeCell ref="A64:J64"/>
    <mergeCell ref="B43:E43"/>
    <mergeCell ref="B58:E58"/>
    <mergeCell ref="A70:J70"/>
    <mergeCell ref="B52:E52"/>
    <mergeCell ref="H57:I57"/>
    <mergeCell ref="F22:G22"/>
    <mergeCell ref="H22:I22"/>
    <mergeCell ref="B42:E42"/>
    <mergeCell ref="B57:E57"/>
    <mergeCell ref="H42:I42"/>
    <mergeCell ref="B44:E44"/>
    <mergeCell ref="F49:G49"/>
    <mergeCell ref="A13:E13"/>
    <mergeCell ref="B34:E34"/>
    <mergeCell ref="B19:E19"/>
    <mergeCell ref="B28:E28"/>
    <mergeCell ref="H30:I30"/>
    <mergeCell ref="D1:J4"/>
    <mergeCell ref="A8:J8"/>
    <mergeCell ref="H20:I20"/>
    <mergeCell ref="A15:E15"/>
    <mergeCell ref="H29:I29"/>
    <mergeCell ref="F16:J16"/>
    <mergeCell ref="B30:E30"/>
    <mergeCell ref="B20:E20"/>
    <mergeCell ref="H44:I44"/>
    <mergeCell ref="F40:G40"/>
    <mergeCell ref="A10:J10"/>
    <mergeCell ref="A68:J68"/>
    <mergeCell ref="F59:G59"/>
    <mergeCell ref="F55:G55"/>
    <mergeCell ref="H59:I59"/>
    <mergeCell ref="H46:I46"/>
    <mergeCell ref="F51:G51"/>
    <mergeCell ref="B62:E62"/>
    <mergeCell ref="H51:I51"/>
    <mergeCell ref="B59:E59"/>
    <mergeCell ref="F32:G32"/>
    <mergeCell ref="H61:I61"/>
    <mergeCell ref="F26:G26"/>
    <mergeCell ref="F41:G41"/>
    <mergeCell ref="B46:E46"/>
    <mergeCell ref="F35:G35"/>
    <mergeCell ref="F38:G38"/>
    <mergeCell ref="H32:I32"/>
    <mergeCell ref="B48:E48"/>
    <mergeCell ref="A65:J65"/>
    <mergeCell ref="H47:I47"/>
    <mergeCell ref="F58:G58"/>
    <mergeCell ref="F27:G27"/>
    <mergeCell ref="F13:J13"/>
    <mergeCell ref="F52:G52"/>
    <mergeCell ref="H27:I27"/>
    <mergeCell ref="F37:G37"/>
    <mergeCell ref="H33:I33"/>
    <mergeCell ref="A71:J71"/>
    <mergeCell ref="H26:I26"/>
  </mergeCells>
  <pageMargins left="0.5" right="0.5" top="0.6" bottom="0.6" header="0.511811023622047" footer="0.511811023622047"/>
  <pageSetup orientation="portrait" paperSize="9" fitToHeight="0" horizontalDpi="300" verticalDpi="300"/>
</worksheet>
</file>

<file path=xl/worksheets/sheet27.xml><?xml version="1.0" encoding="utf-8"?>
<worksheet xmlns="http://schemas.openxmlformats.org/spreadsheetml/2006/main">
  <sheetPr>
    <outlinePr summaryBelow="1" summaryRight="1"/>
    <pageSetUpPr/>
  </sheetPr>
  <dimension ref="A1:K200"/>
  <sheetViews>
    <sheetView showGridLines="0" zoomScale="90" zoomScaleNormal="90" workbookViewId="0">
      <pane xSplit="3" ySplit="5" topLeftCell="D6" activePane="bottomRight" state="frozen"/>
      <selection pane="topRight" activeCell="D1" sqref="D1"/>
      <selection pane="bottomLeft" activeCell="A6" sqref="A6"/>
      <selection pane="bottomRight" activeCell="A1" sqref="A1:K1"/>
    </sheetView>
  </sheetViews>
  <sheetFormatPr baseColWidth="10" defaultColWidth="8.6640625" defaultRowHeight="15"/>
  <cols>
    <col width="4" customWidth="1" style="164" min="1" max="1"/>
    <col width="34" customWidth="1" style="164" min="2" max="2"/>
    <col width="20" customWidth="1" style="164" min="3" max="3"/>
    <col width="24" customWidth="1" style="164" min="4" max="4"/>
    <col width="4" customWidth="1" style="164" min="5" max="5"/>
    <col width="16" customWidth="1" style="164" min="6" max="6"/>
    <col width="4" customWidth="1" style="164" min="7" max="7"/>
    <col width="16" customWidth="1" style="164" min="8" max="8"/>
    <col width="4" customWidth="1" style="164" min="9" max="9"/>
    <col width="20" customWidth="1" style="164" min="10" max="10"/>
    <col width="4" customWidth="1" style="164" min="11" max="11"/>
  </cols>
  <sheetData>
    <row r="1" ht="33.75" customHeight="1" s="164">
      <c r="A1" s="150" t="inlineStr">
        <is>
          <t>NEXCORT IQ</t>
        </is>
      </c>
    </row>
    <row r="2" ht="21.75" customHeight="1" s="164">
      <c r="A2" s="136" t="inlineStr">
        <is>
          <t>INTERACTIVE QUOTE BUILDER  —  INTERNAL USE ONLY</t>
        </is>
      </c>
    </row>
    <row r="3" ht="15.75" customHeight="1" s="164">
      <c r="A3" s="140" t="inlineStr">
        <is>
          <t>🟡 Yellow = you answer   |   🔵 Blue = auto-calculated   |   See "Client Quote" tab for printable output</t>
        </is>
      </c>
    </row>
    <row r="4" ht="6" customHeight="1" s="164">
      <c r="A4" s="67" t="n"/>
    </row>
    <row r="5" ht="31.5" customHeight="1" s="164">
      <c r="A5" s="21" t="n"/>
      <c r="B5" s="21" t="inlineStr">
        <is>
          <t>Question / Line Item</t>
        </is>
      </c>
      <c r="C5" s="21" t="inlineStr">
        <is>
          <t>Category</t>
        </is>
      </c>
      <c r="D5" s="21" t="inlineStr">
        <is>
          <t>Your Answer (dropdown)</t>
        </is>
      </c>
      <c r="E5" s="21" t="n"/>
      <c r="F5" s="21" t="inlineStr">
        <is>
          <t>Std Unit Price</t>
        </is>
      </c>
      <c r="G5" s="21" t="n"/>
      <c r="H5" s="21" t="inlineStr">
        <is>
          <t>Override Price</t>
        </is>
      </c>
      <c r="I5" s="21" t="n"/>
      <c r="J5" s="21" t="inlineStr">
        <is>
          <t>Monthly Total</t>
        </is>
      </c>
      <c r="K5" s="21" t="n"/>
    </row>
    <row r="6" ht="13.5" customHeight="1" s="164">
      <c r="A6" s="139" t="inlineStr">
        <is>
          <t xml:space="preserve">  Override Price = leave blank to use standard. Enter a custom value to override for this quote only. Red border = override active.</t>
        </is>
      </c>
    </row>
    <row r="7" ht="19.5" customHeight="1" s="164">
      <c r="A7" s="108" t="inlineStr">
        <is>
          <t xml:space="preserve">  SECTION 1 — AGENCY PROFILE</t>
        </is>
      </c>
    </row>
    <row r="8" ht="18" customHeight="1" s="164">
      <c r="A8" s="22" t="inlineStr">
        <is>
          <t>1</t>
        </is>
      </c>
      <c r="B8" s="81" t="inlineStr">
        <is>
          <t>Agency / Department Name</t>
        </is>
      </c>
      <c r="C8" s="83" t="n"/>
      <c r="D8" s="125" t="n"/>
      <c r="E8" s="126" t="n"/>
      <c r="F8" s="124" t="n"/>
      <c r="G8" s="83" t="n"/>
      <c r="H8" s="124" t="n"/>
      <c r="I8" s="83" t="n"/>
      <c r="J8" s="124" t="n"/>
      <c r="K8" s="83" t="n"/>
    </row>
    <row r="9" ht="18" customHeight="1" s="164">
      <c r="A9" s="22" t="inlineStr">
        <is>
          <t>2</t>
        </is>
      </c>
      <c r="B9" s="81" t="inlineStr">
        <is>
          <t>Contact Name &amp; Title</t>
        </is>
      </c>
      <c r="C9" s="83" t="n"/>
      <c r="D9" s="125" t="n"/>
      <c r="E9" s="126" t="n"/>
      <c r="F9" s="124" t="n"/>
      <c r="G9" s="83" t="n"/>
      <c r="H9" s="124" t="n"/>
      <c r="I9" s="83" t="n"/>
      <c r="J9" s="124" t="n"/>
      <c r="K9" s="83" t="n"/>
    </row>
    <row r="10" ht="18" customHeight="1" s="164">
      <c r="A10" s="22" t="inlineStr">
        <is>
          <t>3</t>
        </is>
      </c>
      <c r="B10" s="81" t="inlineStr">
        <is>
          <t>Number of Dispatcher Seats</t>
        </is>
      </c>
      <c r="C10" s="83" t="n"/>
      <c r="D10" s="125" t="n"/>
      <c r="E10" s="126" t="n"/>
      <c r="F10" s="124" t="n"/>
      <c r="G10" s="83" t="n"/>
      <c r="H10" s="124" t="n"/>
      <c r="I10" s="83" t="n"/>
      <c r="J10" s="124" t="n"/>
      <c r="K10" s="83" t="n"/>
    </row>
    <row r="11" ht="18" customHeight="1" s="164">
      <c r="A11" s="22" t="inlineStr">
        <is>
          <t>4</t>
        </is>
      </c>
      <c r="B11" s="81" t="inlineStr">
        <is>
          <t>Number of Admin / Supervisor Seats</t>
        </is>
      </c>
      <c r="C11" s="83" t="n"/>
      <c r="D11" s="125" t="n"/>
      <c r="E11" s="126" t="n"/>
      <c r="F11" s="124" t="n"/>
      <c r="G11" s="83" t="n"/>
      <c r="H11" s="124" t="n"/>
      <c r="I11" s="83" t="n"/>
      <c r="J11" s="124" t="n"/>
      <c r="K11" s="83" t="n"/>
    </row>
    <row r="12" ht="18" customHeight="1" s="164">
      <c r="A12" s="22" t="inlineStr">
        <is>
          <t>5</t>
        </is>
      </c>
      <c r="B12" s="81" t="inlineStr">
        <is>
          <t>Estimated Call Volume / Month</t>
        </is>
      </c>
      <c r="C12" s="83" t="n"/>
      <c r="D12" s="125" t="n"/>
      <c r="E12" s="126" t="n"/>
      <c r="F12" s="124" t="n"/>
      <c r="G12" s="83" t="n"/>
      <c r="H12" s="124" t="n"/>
      <c r="I12" s="83" t="n"/>
      <c r="J12" s="124" t="n"/>
      <c r="K12" s="83" t="n"/>
    </row>
    <row r="13" ht="6" customHeight="1" s="164">
      <c r="A13" s="67" t="n"/>
    </row>
    <row r="14" ht="19.5" customHeight="1" s="164">
      <c r="A14" s="108" t="inlineStr">
        <is>
          <t xml:space="preserve">  SECTION 2 — BASE PLAN SELECTION</t>
        </is>
      </c>
    </row>
    <row r="15" ht="19.5" customHeight="1" s="164">
      <c r="A15" s="22" t="inlineStr">
        <is>
          <t>6</t>
        </is>
      </c>
      <c r="B15" s="86" t="inlineStr">
        <is>
          <t>Base Plan</t>
        </is>
      </c>
      <c r="C15" s="83" t="n"/>
      <c r="D15" s="125" t="n"/>
      <c r="E15" s="126" t="n"/>
      <c r="F15" s="129">
        <f>IF(D15="Essential",IF(D10&lt;=3,2800,IF(D10&lt;=6,4200,IF(D10&lt;=8,5400,IF(D10&lt;=10,6000,6000)))),IF(D15="Professional",IF(D10&lt;=10,8500,IF(D10&lt;=18,13000,IF(D10&lt;=23,15500,IF(D10&lt;=25,18000,18000)))),IF(D15="Command",IF(D10&lt;=25,22500,IF(D10&lt;=50,31000,IF(D10&lt;=65,40000,IF(D10&lt;=75,50000,50000)))),IF(D15="Enterprise",80000,0))))</f>
        <v/>
      </c>
      <c r="G15" s="83" t="n"/>
      <c r="H15" s="127" t="n"/>
      <c r="I15" s="128" t="n"/>
      <c r="J15" s="130">
        <f>IF(ISNUMBER(H15),H15,F15)</f>
        <v/>
      </c>
      <c r="K15" s="83" t="n"/>
    </row>
    <row r="16" ht="19.5" customHeight="1" s="164">
      <c r="A16" s="22" t="inlineStr">
        <is>
          <t>7</t>
        </is>
      </c>
      <c r="B16" s="86" t="inlineStr">
        <is>
          <t>Contract Term</t>
        </is>
      </c>
      <c r="C16" s="83" t="n"/>
      <c r="D16" s="125" t="n"/>
      <c r="E16" s="126" t="n"/>
      <c r="F16" s="131">
        <f>IF(D16="1-year",0,IF(D16="2-year",0.15,IF(D16="3-year",0.2,0)))</f>
        <v/>
      </c>
      <c r="G16" s="83" t="n"/>
      <c r="H16" s="138" t="n"/>
      <c r="I16" s="128" t="n"/>
      <c r="J16" s="143" t="inlineStr">
        <is>
          <t>Discount rate — applied in summary</t>
        </is>
      </c>
      <c r="K16" s="83" t="n"/>
    </row>
    <row r="17" ht="19.5" customHeight="1" s="164">
      <c r="A17" s="22" t="inlineStr">
        <is>
          <t>8</t>
        </is>
      </c>
      <c r="B17" s="86" t="inlineStr">
        <is>
          <t>Dispatcher Seat Overage (auto)</t>
        </is>
      </c>
      <c r="C17" s="83" t="n"/>
      <c r="D17" s="125" t="n"/>
      <c r="E17" s="126" t="n"/>
      <c r="F17" s="129">
        <f>IF(D15="Essential",150,IF(D15="Professional",125,IF(D15="Command",100,IF(D15="Enterprise",88,0))))</f>
        <v/>
      </c>
      <c r="G17" s="83" t="n"/>
      <c r="H17" s="127" t="n"/>
      <c r="I17" s="128" t="n"/>
      <c r="J17" s="130">
        <f>IF(ISNUMBER(H17),H17,MAX(0,D10-IF(D15="Essential",10,IF(D15="Professional",25,IF(D15="Command",75,IF(D15="Enterprise",200,0)))))*F17)</f>
        <v/>
      </c>
      <c r="K17" s="83" t="n"/>
    </row>
    <row r="18" ht="19.5" customHeight="1" s="164">
      <c r="A18" s="22" t="inlineStr">
        <is>
          <t>9</t>
        </is>
      </c>
      <c r="B18" s="86" t="inlineStr">
        <is>
          <t>Admin / Supervisor Seat Overage (auto)</t>
        </is>
      </c>
      <c r="C18" s="83" t="n"/>
      <c r="D18" s="125" t="n"/>
      <c r="E18" s="126" t="n"/>
      <c r="F18" s="129">
        <f>IF(D15="Essential",100,IF(D15="Professional",100,IF(D15="Command",85,IF(D15="Enterprise",90,0))))</f>
        <v/>
      </c>
      <c r="G18" s="83" t="n"/>
      <c r="H18" s="127" t="n"/>
      <c r="I18" s="128" t="n"/>
      <c r="J18" s="130">
        <f>IF(ISNUMBER(H18),H18,MAX(0,D11-IF(D15="Essential",3,IF(D15="Professional",8,IF(D15="Command",20,IF(D15="Enterprise",30,0)))))*F18)</f>
        <v/>
      </c>
      <c r="K18" s="83" t="n"/>
    </row>
    <row r="19" ht="19.5" customHeight="1" s="164">
      <c r="A19" s="22" t="inlineStr">
        <is>
          <t>10</t>
        </is>
      </c>
      <c r="B19" s="86" t="inlineStr">
        <is>
          <t>Setup &amp; Implementation Fee</t>
        </is>
      </c>
      <c r="C19" s="83" t="n"/>
      <c r="D19" s="125" t="n"/>
      <c r="E19" s="126" t="n"/>
      <c r="F19" s="129">
        <f>IF(D15="Essential",IF(D10&lt;=3,10000,IF(D10&lt;=6,12500,IF(D10&lt;=8,17500,22500))),IF(D15="Professional",IF(D10&lt;=10,25000,IF(D10&lt;=18,35000,IF(D10&lt;=23,45000,55000))),IF(D15="Command",IF(D10&lt;=25,75000,IF(D10&lt;=50,90000,IF(D10&lt;=65,110000,130000))),IF(D15="Enterprise",200000,0))))</f>
        <v/>
      </c>
      <c r="G19" s="83" t="n"/>
      <c r="H19" s="127" t="n"/>
      <c r="I19" s="128" t="n"/>
      <c r="J19" s="99">
        <f>IF(ISNUMBER(H19),H19,F19)</f>
        <v/>
      </c>
      <c r="K19" s="83" t="n"/>
    </row>
    <row r="20" ht="6" customHeight="1" s="164">
      <c r="A20" s="67" t="n"/>
    </row>
    <row r="21" ht="15.75" customHeight="1" s="164">
      <c r="A21" s="142">
        <f>IF(MAX(F16,D22)&gt;0.15,"⚠  DISCOUNT &gt;15% — Sales Director approval required","✓  Discount within standard range")</f>
        <v/>
      </c>
    </row>
    <row r="22" ht="19.5" customHeight="1" s="164">
      <c r="A22" s="22" t="inlineStr">
        <is>
          <t>11</t>
        </is>
      </c>
      <c r="B22" s="86" t="inlineStr">
        <is>
          <t>Additional Discount Override (0–25%)</t>
        </is>
      </c>
      <c r="C22" s="83" t="n"/>
      <c r="D22" s="125" t="n"/>
      <c r="E22" s="126" t="n"/>
      <c r="F22" s="131">
        <f>F16</f>
        <v/>
      </c>
      <c r="G22" s="83" t="n"/>
      <c r="H22" s="138" t="n"/>
      <c r="I22" s="128" t="n"/>
      <c r="J22" s="146">
        <f>MAX(F16,D22)</f>
        <v/>
      </c>
      <c r="K22" s="83" t="n"/>
    </row>
    <row r="23" ht="6" customHeight="1" s="164">
      <c r="A23" s="67" t="n"/>
    </row>
    <row r="24" ht="19.5" customHeight="1" s="164">
      <c r="A24" s="108" t="inlineStr">
        <is>
          <t xml:space="preserve">  SECTION 3 — ADD-ON MODULES  (all add-ons shown — select None to exclude)</t>
        </is>
      </c>
    </row>
    <row r="25" ht="19.5" customHeight="1" s="164">
      <c r="A25" s="22" t="inlineStr">
        <is>
          <t>12</t>
        </is>
      </c>
      <c r="B25" s="81" t="inlineStr">
        <is>
          <t>CAD Integration</t>
        </is>
      </c>
      <c r="C25" s="83" t="n"/>
      <c r="D25" s="125" t="n"/>
      <c r="E25" s="126" t="n"/>
      <c r="F25" s="129">
        <f>IF(D25="None",0,IF(D25="Discovery Workshop ($7,500)",7500,IF(D25="Discovery Workshop Advanced ($15,000)",15000,IF(D25="Vendor Coordination Basic ($10,000)",10000,IF(D25="Vendor Coordination Premium ($25,000)",25000,IF(D25="Read-Only Tier 1 ($35,000)",35000,IF(D25="Read-Only Tier 2 ($55,000)",55000,IF(D25="Read-Only Tier 3 ($75,000)",75000,IF(D25="Read-Only Tier 4 ($100,000)",100000,IF(D25="Assisted Write-Back T1 ($75,000)",75000,IF(D25="Assisted Write-Back T2 ($125,000)",125000,IF(D25="Assisted Write-Back T3 ($175,000)",175000,IF(D25="Automated Write-Back T1 ($150,000)",150000,IF(D25="Automated Write-Back T2 ($250,000)",250000,0))))))))))))))</f>
        <v/>
      </c>
      <c r="G25" s="83" t="n"/>
      <c r="H25" s="127" t="n"/>
      <c r="I25" s="128" t="n"/>
      <c r="J25" s="99">
        <f>IF(ISNUMBER(H25),H25,F25)</f>
        <v/>
      </c>
      <c r="K25" s="83" t="n"/>
    </row>
    <row r="26" ht="19.5" customHeight="1" s="164">
      <c r="A26" s="22" t="inlineStr">
        <is>
          <t>13</t>
        </is>
      </c>
      <c r="B26" s="81" t="inlineStr">
        <is>
          <t>AI Triage Workflows</t>
        </is>
      </c>
      <c r="C26" s="83" t="n"/>
      <c r="D26" s="125" t="n"/>
      <c r="E26" s="126" t="n"/>
      <c r="F26" s="129">
        <f>IF(D26="None",0,IF(D26="Basic 5-10 rules ($2,500/mo)",2500,IF(D26="Standard 10-25 rules ($5,000/mo)",5000,IF(D26="Premium 25+ rules ($7,500/mo)",7500,0))))</f>
        <v/>
      </c>
      <c r="G26" s="83" t="n"/>
      <c r="H26" s="127" t="n"/>
      <c r="I26" s="128" t="n"/>
      <c r="J26" s="130">
        <f>IF(ISNUMBER(H26),H26,F26)</f>
        <v/>
      </c>
      <c r="K26" s="83" t="n"/>
    </row>
    <row r="27" ht="19.5" customHeight="1" s="164">
      <c r="A27" s="22" t="inlineStr">
        <is>
          <t>14</t>
        </is>
      </c>
      <c r="B27" s="81" t="inlineStr">
        <is>
          <t>AI Confidence Scoring</t>
        </is>
      </c>
      <c r="C27" s="83" t="n"/>
      <c r="D27" s="125" t="n"/>
      <c r="E27" s="126" t="n"/>
      <c r="F27" s="129">
        <f>IF(D27="None",0,IF(D27="Basic ($1,500/mo)",1500,IF(D27="Advanced ($3,500/mo)",3500,IF(D27="Premium ($5,000/mo)",5000,0))))</f>
        <v/>
      </c>
      <c r="G27" s="83" t="n"/>
      <c r="H27" s="127" t="n"/>
      <c r="I27" s="128" t="n"/>
      <c r="J27" s="130">
        <f>IF(ISNUMBER(H27),H27,F27)</f>
        <v/>
      </c>
      <c r="K27" s="83" t="n"/>
    </row>
    <row r="28" ht="19.5" customHeight="1" s="164">
      <c r="A28" s="22" t="inlineStr">
        <is>
          <t>15</t>
        </is>
      </c>
      <c r="B28" s="81" t="inlineStr">
        <is>
          <t>AI Incident Summarization</t>
        </is>
      </c>
      <c r="C28" s="83" t="n"/>
      <c r="D28" s="125" t="n"/>
      <c r="E28" s="126" t="n"/>
      <c r="F28" s="129">
        <f>IF(D28="None",0,IF(D28="Basic &lt;5K calls ($1,500/mo)",1500,IF(D28="Standard 5K-20K calls ($3,500/mo)",3500,IF(D28="Premium 20K+ calls ($5,000/mo)",5000,0))))</f>
        <v/>
      </c>
      <c r="G28" s="83" t="n"/>
      <c r="H28" s="127" t="n"/>
      <c r="I28" s="128" t="n"/>
      <c r="J28" s="130">
        <f>IF(ISNUMBER(H28),H28,F28)</f>
        <v/>
      </c>
      <c r="K28" s="83" t="n"/>
    </row>
    <row r="29" ht="19.5" customHeight="1" s="164">
      <c r="A29" s="22" t="inlineStr">
        <is>
          <t>16</t>
        </is>
      </c>
      <c r="B29" s="81" t="inlineStr">
        <is>
          <t>AI Dispatcher Recommendation Engine</t>
        </is>
      </c>
      <c r="C29" s="83" t="n"/>
      <c r="D29" s="125" t="n"/>
      <c r="E29" s="126" t="n"/>
      <c r="F29" s="129">
        <f>IF(D29="None",0,IF(D29="Standard ($2,500/mo)",2500,IF(D29="Advanced ($10,000/mo)",10000,0)))</f>
        <v/>
      </c>
      <c r="G29" s="83" t="n"/>
      <c r="H29" s="127" t="n"/>
      <c r="I29" s="128" t="n"/>
      <c r="J29" s="130">
        <f>IF(ISNUMBER(H29),H29,F29)</f>
        <v/>
      </c>
      <c r="K29" s="83" t="n"/>
    </row>
    <row r="30" ht="19.5" customHeight="1" s="164">
      <c r="A30" s="22" t="inlineStr">
        <is>
          <t>17</t>
        </is>
      </c>
      <c r="B30" s="81" t="inlineStr">
        <is>
          <t>Enhanced Transcription Accuracy</t>
        </is>
      </c>
      <c r="C30" s="83" t="n"/>
      <c r="D30" s="125" t="n"/>
      <c r="E30" s="126" t="n"/>
      <c r="F30" s="129">
        <f>IF(D30="None",0,IF(D30="Tier 1 &lt;5K calls ($1,500/mo)",1500,IF(D30="Tier 2 5K-15K calls ($3,000/mo)",3000,IF(D30="Tier 3 15K+ calls ($5,000/mo)",5000,0))))</f>
        <v/>
      </c>
      <c r="G30" s="83" t="n"/>
      <c r="H30" s="127" t="n"/>
      <c r="I30" s="128" t="n"/>
      <c r="J30" s="130">
        <f>IF(ISNUMBER(H30),H30,F30)</f>
        <v/>
      </c>
      <c r="K30" s="83" t="n"/>
    </row>
    <row r="31" ht="19.5" customHeight="1" s="164">
      <c r="A31" s="22" t="inlineStr">
        <is>
          <t>18</t>
        </is>
      </c>
      <c r="B31" s="81" t="inlineStr">
        <is>
          <t>Speaker Diarization</t>
        </is>
      </c>
      <c r="C31" s="83" t="n"/>
      <c r="D31" s="125" t="n"/>
      <c r="E31" s="126" t="n"/>
      <c r="F31" s="129">
        <f>IF(D31="None",0,IF(D31="Tier 1 &lt;5K ($1,000/mo)",1000,IF(D31="Tier 2 5K-15K ($2,500/mo)",2500,IF(D31="Tier 3 15K+ ($4,000/mo)",4000,0))))</f>
        <v/>
      </c>
      <c r="G31" s="83" t="n"/>
      <c r="H31" s="127" t="n"/>
      <c r="I31" s="128" t="n"/>
      <c r="J31" s="130">
        <f>IF(ISNUMBER(H31),H31,F31)</f>
        <v/>
      </c>
      <c r="K31" s="83" t="n"/>
    </row>
    <row r="32" ht="19.5" customHeight="1" s="164">
      <c r="A32" s="22" t="inlineStr">
        <is>
          <t>19</t>
        </is>
      </c>
      <c r="B32" s="81" t="inlineStr">
        <is>
          <t>Live Translation</t>
        </is>
      </c>
      <c r="C32" s="83" t="n"/>
      <c r="D32" s="125" t="n"/>
      <c r="E32" s="126" t="n"/>
      <c r="F32" s="129">
        <f>IF(OR(D32="None (included Pro+)",D32="None"),0,IF(D32="Tier 1 2-3 languages ($2,500/mo)",2500,IF(D32="Tier 2 4-6 languages ($5,500/mo)",5500,IF(D32="Tier 3 7-10 languages ($8,000/mo)",8000,IF(D32="Tier 4 10+ languages ($10,000/mo)",10000,0)))))</f>
        <v/>
      </c>
      <c r="G32" s="83" t="n"/>
      <c r="H32" s="127" t="n"/>
      <c r="I32" s="128" t="n"/>
      <c r="J32" s="130">
        <f>IF(D15="Essential",IF(ISNUMBER(H32),H32,F32),0)</f>
        <v/>
      </c>
      <c r="K32" s="83" t="n"/>
    </row>
    <row r="33" ht="19.5" customHeight="1" s="164">
      <c r="A33" s="22" t="inlineStr">
        <is>
          <t>20</t>
        </is>
      </c>
      <c r="B33" s="81" t="inlineStr">
        <is>
          <t>Language Packs (Top 10 Languages)</t>
        </is>
      </c>
      <c r="C33" s="83" t="n"/>
      <c r="D33" s="125" t="n"/>
      <c r="E33" s="126" t="n"/>
      <c r="F33" s="129">
        <f>IF(D33="None",0,IF(D33="Top 10 Languages ($3,500/mo)",3500,IF(D33="Top 15 Languages ($5,000/mo)",5000,0)))</f>
        <v/>
      </c>
      <c r="G33" s="83" t="n"/>
      <c r="H33" s="127" t="n"/>
      <c r="I33" s="128" t="n"/>
      <c r="J33" s="130">
        <f>IF(ISNUMBER(H33),H33,F33)</f>
        <v/>
      </c>
      <c r="K33" s="83" t="n"/>
    </row>
    <row r="34" ht="19.5" customHeight="1" s="164">
      <c r="A34" s="22" t="inlineStr">
        <is>
          <t>21</t>
        </is>
      </c>
      <c r="B34" s="81" t="inlineStr">
        <is>
          <t>Caller SMS Link Generation</t>
        </is>
      </c>
      <c r="C34" s="83" t="n"/>
      <c r="D34" s="125" t="n"/>
      <c r="E34" s="126" t="n"/>
      <c r="F34" s="129">
        <f>IF(D34="None",0,IF(D34="Basic &lt;500 links ($1,500/mo)",1500,IF(D34="Standard ($5,000/mo)",5000,0)))</f>
        <v/>
      </c>
      <c r="G34" s="83" t="n"/>
      <c r="H34" s="127" t="n"/>
      <c r="I34" s="128" t="n"/>
      <c r="J34" s="130">
        <f>IF(ISNUMBER(H34),H34,F34)</f>
        <v/>
      </c>
      <c r="K34" s="83" t="n"/>
    </row>
    <row r="35" ht="19.5" customHeight="1" s="164">
      <c r="A35" s="22" t="inlineStr">
        <is>
          <t>22</t>
        </is>
      </c>
      <c r="B35" s="81" t="inlineStr">
        <is>
          <t>Caller Photo Upload</t>
        </is>
      </c>
      <c r="C35" s="83" t="n"/>
      <c r="D35" s="125" t="n"/>
      <c r="E35" s="126" t="n"/>
      <c r="F35" s="129">
        <f>IF(D35="None",0,IF(D35="Basic 500 photos ($1,000/mo)",1000,IF(D35="Standard 2K photos ($2,500/mo)",2500,IF(D35="Premium 5K+ photos ($4,000/mo)",4000,0))))</f>
        <v/>
      </c>
      <c r="G35" s="83" t="n"/>
      <c r="H35" s="127" t="n"/>
      <c r="I35" s="128" t="n"/>
      <c r="J35" s="130">
        <f>IF(ISNUMBER(H35),H35,F35)</f>
        <v/>
      </c>
      <c r="K35" s="83" t="n"/>
    </row>
    <row r="36" ht="19.5" customHeight="1" s="164">
      <c r="A36" s="22" t="inlineStr">
        <is>
          <t>23</t>
        </is>
      </c>
      <c r="B36" s="81" t="inlineStr">
        <is>
          <t>Caller Video Upload</t>
        </is>
      </c>
      <c r="C36" s="83" t="n"/>
      <c r="D36" s="125" t="n"/>
      <c r="E36" s="126" t="n"/>
      <c r="F36" s="129">
        <f>IF(D36="None",0,IF(D36="Standard ($2,500/mo)",2500,IF(D36="Premium ($8,500/mo)",8500,0)))</f>
        <v/>
      </c>
      <c r="G36" s="83" t="n"/>
      <c r="H36" s="127" t="n"/>
      <c r="I36" s="128" t="n"/>
      <c r="J36" s="130">
        <f>IF(ISNUMBER(H36),H36,F36)</f>
        <v/>
      </c>
      <c r="K36" s="83" t="n"/>
    </row>
    <row r="37" ht="19.5" customHeight="1" s="164">
      <c r="A37" s="22" t="inlineStr">
        <is>
          <t>24</t>
        </is>
      </c>
      <c r="B37" s="81" t="inlineStr">
        <is>
          <t>Live Caller Video Streaming</t>
        </is>
      </c>
      <c r="C37" s="83" t="n"/>
      <c r="D37" s="125" t="n"/>
      <c r="E37" s="126" t="n"/>
      <c r="F37" s="129">
        <f>IF(D37="None",0,IF(D37="Standard ($5,000/mo)",5000,IF(D37="Premium ($20,000/mo)",20000,0)))</f>
        <v/>
      </c>
      <c r="G37" s="83" t="n"/>
      <c r="H37" s="127" t="n"/>
      <c r="I37" s="128" t="n"/>
      <c r="J37" s="130">
        <f>IF(ISNUMBER(H37),H37,F37)</f>
        <v/>
      </c>
      <c r="K37" s="83" t="n"/>
    </row>
    <row r="38" ht="19.5" customHeight="1" s="164">
      <c r="A38" s="22" t="inlineStr">
        <is>
          <t>25</t>
        </is>
      </c>
      <c r="B38" s="81" t="inlineStr">
        <is>
          <t>Media Audit Trail &amp; Redaction</t>
        </is>
      </c>
      <c r="C38" s="83" t="n"/>
      <c r="D38" s="125" t="n"/>
      <c r="E38" s="126" t="n"/>
      <c r="F38" s="129">
        <f>IF(D38="None",0,IF(D38="Audit Trail ($1,500/mo)",1500,IF(D38="Audit + Redaction ($7,500/mo)",7500,0)))</f>
        <v/>
      </c>
      <c r="G38" s="83" t="n"/>
      <c r="H38" s="127" t="n"/>
      <c r="I38" s="128" t="n"/>
      <c r="J38" s="130">
        <f>IF(ISNUMBER(H38),H38,F38)</f>
        <v/>
      </c>
      <c r="K38" s="83" t="n"/>
    </row>
    <row r="39" ht="19.5" customHeight="1" s="164">
      <c r="A39" s="22" t="inlineStr">
        <is>
          <t>26</t>
        </is>
      </c>
      <c r="B39" s="81" t="inlineStr">
        <is>
          <t>QA Review Tools</t>
        </is>
      </c>
      <c r="C39" s="83" t="n"/>
      <c r="D39" s="125" t="n"/>
      <c r="E39" s="126" t="n"/>
      <c r="F39" s="129">
        <f>IF(OR(D39="None (included Pro+)",D39="None"),0,IF(D39="Basic Scorecards ($1,000/mo)",1000,IF(D39="Full QA Suite ($3,500/mo)",3500,IF(D39="QA Suite + AI Grading ($6,000/mo)",6000,0))))</f>
        <v/>
      </c>
      <c r="G39" s="83" t="n"/>
      <c r="H39" s="127" t="n"/>
      <c r="I39" s="128" t="n"/>
      <c r="J39" s="130">
        <f>IF(D15="Essential",IF(ISNUMBER(H39),H39,F39),0)</f>
        <v/>
      </c>
      <c r="K39" s="83" t="n"/>
    </row>
    <row r="40" ht="19.5" customHeight="1" s="164">
      <c r="A40" s="22" t="inlineStr">
        <is>
          <t>27</t>
        </is>
      </c>
      <c r="B40" s="81" t="inlineStr">
        <is>
          <t>Team Performance Dashboards</t>
        </is>
      </c>
      <c r="C40" s="83" t="n"/>
      <c r="D40" s="125" t="n"/>
      <c r="E40" s="126" t="n"/>
      <c r="F40" s="129">
        <f>IF(OR(D40="None (included Pro+)",D40="None"),0,IF(D40="Standard ($2,000/mo)",2000,IF(D40="Advanced ($7,500/mo)",7500,0)))</f>
        <v/>
      </c>
      <c r="G40" s="83" t="n"/>
      <c r="H40" s="127" t="n"/>
      <c r="I40" s="128" t="n"/>
      <c r="J40" s="130">
        <f>IF(D15="Essential",IF(ISNUMBER(H40),H40,F40),0)</f>
        <v/>
      </c>
      <c r="K40" s="83" t="n"/>
    </row>
    <row r="41" ht="19.5" customHeight="1" s="164">
      <c r="A41" s="22" t="inlineStr">
        <is>
          <t>28</t>
        </is>
      </c>
      <c r="B41" s="81" t="inlineStr">
        <is>
          <t>Incident Command Suite</t>
        </is>
      </c>
      <c r="C41" s="83" t="n"/>
      <c r="D41" s="125" t="n"/>
      <c r="E41" s="126" t="n"/>
      <c r="F41" s="129">
        <f>IF(OR(D41="None (included Command+)",D41="None"),0,IF(D41="Basic Package ($5,000/mo)",5000,IF(D41="Full Command Suite ($12,500/mo)",12500,0)))</f>
        <v/>
      </c>
      <c r="G41" s="83" t="n"/>
      <c r="H41" s="127" t="n"/>
      <c r="I41" s="128" t="n"/>
      <c r="J41" s="130">
        <f>IF(OR(D15="Essential",D15="Professional"),IF(ISNUMBER(H41),H41,F41),0)</f>
        <v/>
      </c>
      <c r="K41" s="83" t="n"/>
    </row>
    <row r="42" ht="19.5" customHeight="1" s="164">
      <c r="A42" s="22" t="inlineStr">
        <is>
          <t>29</t>
        </is>
      </c>
      <c r="B42" s="81" t="inlineStr">
        <is>
          <t>Reliability &amp; Tech Ops</t>
        </is>
      </c>
      <c r="C42" s="83" t="n"/>
      <c r="D42" s="125" t="n"/>
      <c r="E42" s="126" t="n"/>
      <c r="F42" s="129">
        <f>IF(OR(D42="None (included Command+)",D42="None"),0,IF(D42="Basic Monitoring ($2,500/mo)",2500,IF(D42="Full Reliability Suite ($7,500/mo)",7500,0)))</f>
        <v/>
      </c>
      <c r="G42" s="83" t="n"/>
      <c r="H42" s="127" t="n"/>
      <c r="I42" s="128" t="n"/>
      <c r="J42" s="130">
        <f>IF(OR(D15="Essential",D15="Professional"),IF(ISNUMBER(H42),H42,F42),0)</f>
        <v/>
      </c>
      <c r="K42" s="83" t="n"/>
    </row>
    <row r="43" ht="19.5" customHeight="1" s="164">
      <c r="A43" s="22" t="inlineStr">
        <is>
          <t>30</t>
        </is>
      </c>
      <c r="B43" s="81" t="inlineStr">
        <is>
          <t>Support Package</t>
        </is>
      </c>
      <c r="C43" s="83" t="n"/>
      <c r="D43" s="125" t="n"/>
      <c r="E43" s="126" t="n"/>
      <c r="F43" s="129">
        <f>IF(OR(D43="Standard (Included)",D43=""),0,IF(D43="Priority Small &lt;25 users ($2,500/mo)",2500,IF(D43="Priority Medium 25-75 ($5,000/mo)",5000,IF(D43="Priority Large 75+ ($7,500/mo)",7500,0))))</f>
        <v/>
      </c>
      <c r="G43" s="83" t="n"/>
      <c r="H43" s="127" t="n"/>
      <c r="I43" s="128" t="n"/>
      <c r="J43" s="130">
        <f>IF(D15="Essential",IF(ISNUMBER(H43),H43,F43),0)</f>
        <v/>
      </c>
      <c r="K43" s="83" t="n"/>
    </row>
    <row r="44" ht="19.5" customHeight="1" s="164">
      <c r="A44" s="22" t="inlineStr">
        <is>
          <t>31</t>
        </is>
      </c>
      <c r="B44" s="81" t="inlineStr">
        <is>
          <t>Onsite Services</t>
        </is>
      </c>
      <c r="C44" s="83" t="n"/>
      <c r="D44" s="125" t="n"/>
      <c r="E44" s="126" t="n"/>
      <c r="F44" s="129">
        <f>IF(D44="None",0,IF(D44="Discovery Visit ($10,000)",10000,IF(D44="Pilot Launch Support ($35,000)",35000,IF(D44="Go-Live Support ($65,000)",65000,IF(D44="Full Program ($100,000)",100000,0)))))</f>
        <v/>
      </c>
      <c r="G44" s="83" t="n"/>
      <c r="H44" s="127" t="n"/>
      <c r="I44" s="128" t="n"/>
      <c r="J44" s="99">
        <f>IF(ISNUMBER(H44),H44,F44)</f>
        <v/>
      </c>
      <c r="K44" s="83" t="n"/>
    </row>
    <row r="45" ht="19.5" customHeight="1" s="164">
      <c r="A45" s="22" t="inlineStr">
        <is>
          <t>32</t>
        </is>
      </c>
      <c r="B45" s="81" t="inlineStr">
        <is>
          <t>Training Package</t>
        </is>
      </c>
      <c r="C45" s="83" t="n"/>
      <c r="D45" s="125" t="n"/>
      <c r="E45" s="126" t="n"/>
      <c r="F45" s="129">
        <f>IF(OR(D45="Standard Onboarding (Included)",D45=""),0,IF(D45="Remote Package ($5,000)",5000,IF(D45="Onsite Dispatcher ($20,000)",20000,IF(D45="Onsite Supervisor ($20,000)",20000,IF(D45="Train-the-Trainer ($30,000)",30000,IF(D45="Custom Program ($50,000)",50000,0))))))</f>
        <v/>
      </c>
      <c r="G45" s="83" t="n"/>
      <c r="H45" s="127" t="n"/>
      <c r="I45" s="128" t="n"/>
      <c r="J45" s="99">
        <f>IF(ISNUMBER(H45),H45,F45)</f>
        <v/>
      </c>
      <c r="K45" s="83" t="n"/>
    </row>
    <row r="46" ht="6" customHeight="1" s="164">
      <c r="A46" s="47" t="inlineStr">
        <is>
          <t>33</t>
        </is>
      </c>
      <c r="B46" s="144" t="inlineStr">
        <is>
          <t>Call Assist (non-emergency)</t>
        </is>
      </c>
      <c r="C46" s="83" t="n"/>
      <c r="D46" s="134" t="inlineStr">
        <is>
          <t>None</t>
        </is>
      </c>
      <c r="E46" s="126" t="n"/>
      <c r="F46" s="141">
        <f>IF(D46="None",0,IF(D46="Module ($4,500/mo)",4500,IF(D46="Module + CAD Push ($6,000/mo)",6000,IF(D46="Full (module+CAD+RMS) ($7,500/mo)",7500,0))))</f>
        <v/>
      </c>
      <c r="G46" s="83" t="n"/>
      <c r="H46" s="135" t="n"/>
      <c r="I46" s="128" t="n"/>
      <c r="J46" s="132">
        <f>IF(ISNUMBER(H46),H46,F46)</f>
        <v/>
      </c>
      <c r="K46" s="83" t="n"/>
    </row>
    <row r="47" ht="19.5" customHeight="1" s="164">
      <c r="A47" s="47" t="inlineStr">
        <is>
          <t>34</t>
        </is>
      </c>
      <c r="B47" s="144" t="inlineStr">
        <is>
          <t>NexIQ Vision™</t>
        </is>
      </c>
      <c r="C47" s="83" t="n"/>
      <c r="D47" s="134" t="inlineStr">
        <is>
          <t>None</t>
        </is>
      </c>
      <c r="E47" s="126" t="n"/>
      <c r="F47" s="141">
        <f>IF(D47="None",0,IF(D47="Standard 10 cameras ($500/mo)",500,IF(D47="Professional 50 cameras ($1,500/mo)",1500,IF(D47="Enterprise unlimited ($4,000/mo)",4000,0))))</f>
        <v/>
      </c>
      <c r="G47" s="83" t="n"/>
      <c r="H47" s="135" t="n"/>
      <c r="I47" s="128" t="n"/>
      <c r="J47" s="132">
        <f>IF(ISNUMBER(H47),H47,F47)</f>
        <v/>
      </c>
      <c r="K47" s="83" t="n"/>
    </row>
    <row r="48" ht="19.5" customHeight="1" s="164">
      <c r="A48" s="47" t="inlineStr">
        <is>
          <t>35</t>
        </is>
      </c>
      <c r="B48" s="144" t="inlineStr">
        <is>
          <t>iQ Reporting</t>
        </is>
      </c>
      <c r="C48" s="83" t="n"/>
      <c r="D48" s="134" t="inlineStr">
        <is>
          <t>None</t>
        </is>
      </c>
      <c r="E48" s="126" t="n"/>
      <c r="F48" s="141">
        <f>IF(OR(D48="None (included Pro+)",D48="None"),0,IF(D48="Essential add-on ($1,500/mo)",1500,IF(D48="Essential add-on ($3,500/mo)",3500,0)))</f>
        <v/>
      </c>
      <c r="G48" s="83" t="n"/>
      <c r="H48" s="135" t="n"/>
      <c r="I48" s="128" t="n"/>
      <c r="J48" s="132">
        <f>IF(D15="Essential",IF(ISNUMBER(H48),H48,F48),0)</f>
        <v/>
      </c>
      <c r="K48" s="83" t="n"/>
    </row>
    <row r="49" ht="19.5" customHeight="1" s="164">
      <c r="A49" s="47" t="inlineStr">
        <is>
          <t>36</t>
        </is>
      </c>
      <c r="B49" s="144" t="inlineStr">
        <is>
          <t>Command Intelligence</t>
        </is>
      </c>
      <c r="C49" s="83" t="n"/>
      <c r="D49" s="134" t="inlineStr">
        <is>
          <t>None</t>
        </is>
      </c>
      <c r="E49" s="126" t="n"/>
      <c r="F49" s="141">
        <f>IF(D49="None",0,IF(D49="Standard ($1,500/mo)",1500,IF(D49="Advanced ($4,000/mo)",4000,0)))</f>
        <v/>
      </c>
      <c r="G49" s="83" t="n"/>
      <c r="H49" s="135" t="n"/>
      <c r="I49" s="128" t="n"/>
      <c r="J49" s="132">
        <f>IF(ISNUMBER(H49),H49,F49)</f>
        <v/>
      </c>
      <c r="K49" s="83" t="n"/>
    </row>
    <row r="50" ht="19.5" customHeight="1" s="164">
      <c r="A50" s="47" t="inlineStr">
        <is>
          <t>37</t>
        </is>
      </c>
      <c r="B50" s="144" t="inlineStr">
        <is>
          <t>NexiQ Vault</t>
        </is>
      </c>
      <c r="C50" s="83" t="n"/>
      <c r="D50" s="134" t="inlineStr">
        <is>
          <t>None</t>
        </is>
      </c>
      <c r="E50" s="126" t="n"/>
      <c r="F50" s="141">
        <f>IF(D50="None",0,IF(D50="Standard ($1,200/mo)",1200,IF(D50="Extended ($3,500/mo)",3500,0)))</f>
        <v/>
      </c>
      <c r="G50" s="83" t="n"/>
      <c r="H50" s="135" t="n"/>
      <c r="I50" s="128" t="n"/>
      <c r="J50" s="132">
        <f>IF(ISNUMBER(H50),H50,F50)</f>
        <v/>
      </c>
      <c r="K50" s="83" t="n"/>
    </row>
    <row r="51" ht="19.5" customHeight="1" s="164">
      <c r="A51" s="47" t="inlineStr">
        <is>
          <t>38</t>
        </is>
      </c>
      <c r="B51" s="144" t="inlineStr">
        <is>
          <t>Response Continuity (RCS)</t>
        </is>
      </c>
      <c r="C51" s="83" t="n"/>
      <c r="D51" s="134" t="inlineStr">
        <is>
          <t>None</t>
        </is>
      </c>
      <c r="E51" s="126" t="n"/>
      <c r="F51" s="141">
        <f>IF(D51="None",0,IF(D51="Module ($3,500/mo)",3500,IF(D51="Module + sentinel ($7,500/mo)",7500,0)))</f>
        <v/>
      </c>
      <c r="G51" s="83" t="n"/>
      <c r="H51" s="135" t="n"/>
      <c r="I51" s="128" t="n"/>
      <c r="J51" s="132">
        <f>IF(ISNUMBER(H51),H51,F51)</f>
        <v/>
      </c>
      <c r="K51" s="83" t="n"/>
    </row>
    <row r="52" ht="19.5" customHeight="1" s="164">
      <c r="A52" s="47" t="inlineStr">
        <is>
          <t>39</t>
        </is>
      </c>
      <c r="B52" s="144" t="inlineStr">
        <is>
          <t>CAD-to-CAD mesh / Multi-CAD</t>
        </is>
      </c>
      <c r="C52" s="83" t="n"/>
      <c r="D52" s="134" t="inlineStr">
        <is>
          <t>None</t>
        </is>
      </c>
      <c r="E52" s="126" t="n"/>
      <c r="F52" s="141">
        <f>IF(D52="None",0,IF(D52="Multi-CAD Connector ($3,500/mo)",3500,IF(D52="Regional mesh ($8,000/mo)",8000,0)))</f>
        <v/>
      </c>
      <c r="G52" s="83" t="n"/>
      <c r="H52" s="135" t="n"/>
      <c r="I52" s="128" t="n"/>
      <c r="J52" s="132">
        <f>IF(ISNUMBER(H52),H52,F52)</f>
        <v/>
      </c>
      <c r="K52" s="83" t="n"/>
    </row>
    <row r="53" ht="7.5" customHeight="1" s="164">
      <c r="A53" s="47" t="inlineStr">
        <is>
          <t>40</t>
        </is>
      </c>
      <c r="B53" s="144" t="inlineStr">
        <is>
          <t>Emergency Alert Broadcast</t>
        </is>
      </c>
      <c r="C53" s="83" t="n"/>
      <c r="D53" s="134" t="inlineStr">
        <is>
          <t>None</t>
        </is>
      </c>
      <c r="E53" s="126" t="n"/>
      <c r="F53" s="141">
        <f>IF(D53="None",0,IF(D53="Alerts ($1,500/mo)",1500,IF(D53="Alerts + short code ($2,250/mo)",2250,0)))</f>
        <v/>
      </c>
      <c r="G53" s="83" t="n"/>
      <c r="H53" s="135" t="n"/>
      <c r="I53" s="128" t="n"/>
      <c r="J53" s="132">
        <f>IF(ISNUMBER(H53),H53,F53)</f>
        <v/>
      </c>
      <c r="K53" s="83" t="n"/>
    </row>
    <row r="54" ht="25.5" customHeight="1" s="164">
      <c r="A54" s="47" t="inlineStr">
        <is>
          <t>41</t>
        </is>
      </c>
      <c r="B54" s="144" t="inlineStr">
        <is>
          <t>NexCort Translate (ops / field)</t>
        </is>
      </c>
      <c r="C54" s="83" t="n"/>
      <c r="D54" s="134" t="inlineStr">
        <is>
          <t>None</t>
        </is>
      </c>
      <c r="E54" s="126" t="n"/>
      <c r="F54" s="141">
        <f>IF(D54="None",0,IF(D54="Ops Translate ($1,000/mo)",1000,IF(D54="Ops Translate ($3,000/mo)",3000,0)))</f>
        <v/>
      </c>
      <c r="G54" s="83" t="n"/>
      <c r="H54" s="135" t="n"/>
      <c r="I54" s="128" t="n"/>
      <c r="J54" s="132">
        <f>IF(ISNUMBER(H54),H54,F54)</f>
        <v/>
      </c>
      <c r="K54" s="83" t="n"/>
    </row>
    <row r="55" ht="25.5" customHeight="1" s="164">
      <c r="A55" s="47" t="inlineStr">
        <is>
          <t>42</t>
        </is>
      </c>
      <c r="B55" s="144" t="inlineStr">
        <is>
          <t>NG911 Assist</t>
        </is>
      </c>
      <c r="C55" s="83" t="n"/>
      <c r="D55" s="134" t="inlineStr">
        <is>
          <t>None</t>
        </is>
      </c>
      <c r="E55" s="126" t="n"/>
      <c r="F55" s="141">
        <f>IF(D55="None",0,IF(D55="Discovery-scoped ($2,500/mo)",2500,IF(D55="Discovery-scoped ($7,500/mo)",7500,0)))</f>
        <v/>
      </c>
      <c r="G55" s="83" t="n"/>
      <c r="H55" s="135" t="n"/>
      <c r="I55" s="128" t="n"/>
      <c r="J55" s="132">
        <f>IF(ISNUMBER(H55),H55,F55)</f>
        <v/>
      </c>
      <c r="K55" s="83" t="n"/>
    </row>
    <row r="56" ht="25.5" customHeight="1" s="164">
      <c r="A56" s="148" t="n"/>
      <c r="D56" s="149" t="n"/>
      <c r="F56" s="152" t="n"/>
      <c r="J56" s="145" t="n"/>
    </row>
    <row r="57" ht="19.5" customHeight="1" s="164">
      <c r="A57" s="108" t="inlineStr">
        <is>
          <t xml:space="preserve">  SECTION 4 — QUOTE SUMMARY (auto-calculated)</t>
        </is>
      </c>
    </row>
    <row r="58" ht="19.5" customHeight="1" s="164">
      <c r="A58" s="81" t="inlineStr">
        <is>
          <t>Monthly Recurring (before discount)</t>
        </is>
      </c>
      <c r="B58" s="82" t="n"/>
      <c r="C58" s="83" t="n"/>
      <c r="D58" s="133" t="inlineStr">
        <is>
          <t>Monthly</t>
        </is>
      </c>
      <c r="E58" s="83" t="n"/>
      <c r="F58" s="137" t="n"/>
      <c r="G58" s="82" t="n"/>
      <c r="H58" s="82" t="n"/>
      <c r="I58" s="83" t="n"/>
      <c r="J58" s="129">
        <f>IFERROR(J15+J17+J18+SUM(J26:J43)+SUM(J46:J55),0)</f>
        <v/>
      </c>
      <c r="K58" s="83" t="n"/>
    </row>
    <row r="59" ht="19.5" customHeight="1" s="164">
      <c r="A59" s="81" t="inlineStr">
        <is>
          <t>One-Time Fees (setup + CAD + onsite + training)</t>
        </is>
      </c>
      <c r="B59" s="82" t="n"/>
      <c r="C59" s="83" t="n"/>
      <c r="D59" s="133" t="inlineStr">
        <is>
          <t>One-Time</t>
        </is>
      </c>
      <c r="E59" s="83" t="n"/>
      <c r="F59" s="137" t="n"/>
      <c r="G59" s="82" t="n"/>
      <c r="H59" s="82" t="n"/>
      <c r="I59" s="83" t="n"/>
      <c r="J59" s="129">
        <f>IFERROR(J19+J25+J44+J45,0)</f>
        <v/>
      </c>
      <c r="K59" s="83" t="n"/>
    </row>
    <row r="60" ht="19.5" customHeight="1" s="164">
      <c r="A60" s="115">
        <f>IF(MAX(F16,D22)&gt;0,"Discount ("&amp;TEXT(MAX(F16,D22),"0%")&amp;") applied","No discount")</f>
        <v/>
      </c>
      <c r="B60" s="82" t="n"/>
      <c r="C60" s="82" t="n"/>
      <c r="D60" s="82" t="n"/>
      <c r="E60" s="82" t="n"/>
      <c r="F60" s="82" t="n"/>
      <c r="G60" s="82" t="n"/>
      <c r="H60" s="82" t="n"/>
      <c r="I60" s="82" t="n"/>
      <c r="J60" s="82" t="n"/>
      <c r="K60" s="83" t="n"/>
    </row>
    <row r="61" ht="19.5" customHeight="1" s="164">
      <c r="A61" s="81" t="inlineStr">
        <is>
          <t>Monthly Discount Amount</t>
        </is>
      </c>
      <c r="B61" s="82" t="n"/>
      <c r="C61" s="83" t="n"/>
      <c r="D61" s="133" t="inlineStr">
        <is>
          <t>Deduction</t>
        </is>
      </c>
      <c r="E61" s="83" t="n"/>
      <c r="F61" s="137" t="n"/>
      <c r="G61" s="82" t="n"/>
      <c r="H61" s="82" t="n"/>
      <c r="I61" s="83" t="n"/>
      <c r="J61" s="129">
        <f>IFERROR(-J58*MAX(F16,D22),0)</f>
        <v/>
      </c>
      <c r="K61" s="83" t="n"/>
    </row>
    <row r="62" ht="19.5" customHeight="1" s="164">
      <c r="A62" s="81" t="inlineStr">
        <is>
          <t>One-Time Discount Amount</t>
        </is>
      </c>
      <c r="B62" s="82" t="n"/>
      <c r="C62" s="83" t="n"/>
      <c r="D62" s="133" t="inlineStr">
        <is>
          <t>Deduction</t>
        </is>
      </c>
      <c r="E62" s="83" t="n"/>
      <c r="F62" s="137" t="n"/>
      <c r="G62" s="82" t="n"/>
      <c r="H62" s="82" t="n"/>
      <c r="I62" s="83" t="n"/>
      <c r="J62" s="129">
        <f>IFERROR(-J59*MAX(F16,D22),0)</f>
        <v/>
      </c>
      <c r="K62" s="83" t="n"/>
    </row>
    <row r="63" ht="7.5" customHeight="1" s="164">
      <c r="A63" s="67" t="n"/>
    </row>
    <row r="64" ht="25.5" customHeight="1" s="164">
      <c r="A64" s="148" t="inlineStr">
        <is>
          <t>★  TOTAL MONTHLY (after discount)</t>
        </is>
      </c>
      <c r="B64" s="82" t="n"/>
      <c r="C64" s="83" t="n"/>
      <c r="D64" s="149" t="inlineStr">
        <is>
          <t>TOTAL</t>
        </is>
      </c>
      <c r="E64" s="83" t="n"/>
      <c r="F64" s="152" t="n"/>
      <c r="G64" s="82" t="n"/>
      <c r="H64" s="82" t="n"/>
      <c r="I64" s="83" t="n"/>
      <c r="J64" s="145">
        <f>IFERROR(J58+J61,0)</f>
        <v/>
      </c>
      <c r="K64" s="83" t="n"/>
    </row>
    <row r="65" ht="25.5" customHeight="1" s="164">
      <c r="A65" s="148" t="inlineStr">
        <is>
          <t>★  TOTAL ONE-TIME (after discount)</t>
        </is>
      </c>
      <c r="B65" s="82" t="n"/>
      <c r="C65" s="83" t="n"/>
      <c r="D65" s="149" t="inlineStr">
        <is>
          <t>TOTAL</t>
        </is>
      </c>
      <c r="E65" s="83" t="n"/>
      <c r="F65" s="152" t="n"/>
      <c r="G65" s="82" t="n"/>
      <c r="H65" s="82" t="n"/>
      <c r="I65" s="83" t="n"/>
      <c r="J65" s="145">
        <f>IFERROR(J59+J62,0)</f>
        <v/>
      </c>
      <c r="K65" s="83" t="n"/>
    </row>
    <row r="66" ht="25.5" customHeight="1" s="164">
      <c r="A66" s="148" t="inlineStr">
        <is>
          <t>★  ESTIMATED ANNUAL TOTAL (Monthly×12 + One-Time)</t>
        </is>
      </c>
      <c r="B66" s="82" t="n"/>
      <c r="C66" s="83" t="n"/>
      <c r="D66" s="149" t="inlineStr">
        <is>
          <t>TOTAL</t>
        </is>
      </c>
      <c r="E66" s="83" t="n"/>
      <c r="F66" s="152" t="n"/>
      <c r="G66" s="82" t="n"/>
      <c r="H66" s="82" t="n"/>
      <c r="I66" s="83" t="n"/>
      <c r="J66" s="145">
        <f>IFERROR(J64*12+J65,0)</f>
        <v/>
      </c>
      <c r="K66" s="83" t="n"/>
    </row>
    <row r="67" ht="15.75" customHeight="1" s="164">
      <c r="A67" s="147" t="inlineStr">
        <is>
          <t>Per Seat / Month</t>
        </is>
      </c>
      <c r="B67" s="82" t="n"/>
      <c r="C67" s="82" t="n"/>
      <c r="D67" s="82" t="n"/>
      <c r="E67" s="82" t="n"/>
      <c r="F67" s="82" t="n"/>
      <c r="G67" s="82" t="n"/>
      <c r="H67" s="82" t="n"/>
      <c r="I67" s="83" t="n"/>
      <c r="J67" s="153">
        <f>IFERROR(J64/(D10+D11),"")</f>
        <v/>
      </c>
      <c r="K67" s="83" t="n"/>
    </row>
    <row r="68" ht="6" customHeight="1" s="164">
      <c r="A68" s="67" t="n"/>
    </row>
    <row r="69" ht="15.75" customHeight="1" s="164">
      <c r="A69" s="151" t="inlineStr">
        <is>
          <t>⚠  INTERNAL USE ONLY — See "Client Quote" tab for printable version.  All quotes require Sales Director review before sending.</t>
        </is>
      </c>
      <c r="B69" s="82" t="n"/>
      <c r="C69" s="82" t="n"/>
      <c r="D69" s="82" t="n"/>
      <c r="E69" s="82" t="n"/>
      <c r="F69" s="82" t="n"/>
      <c r="G69" s="82" t="n"/>
      <c r="H69" s="82" t="n"/>
      <c r="I69" s="82" t="n"/>
      <c r="J69" s="82" t="n"/>
      <c r="K69" s="83" t="n"/>
    </row>
    <row r="200" ht="15" customHeight="1" s="164">
      <c r="A200" t="inlineStr">
        <is>
          <t>REFS</t>
        </is>
      </c>
      <c r="B200" t="n">
        <v>54</v>
      </c>
      <c r="C200" t="n">
        <v>55</v>
      </c>
    </row>
  </sheetData>
  <mergeCells count="257">
    <mergeCell ref="H53:I53"/>
    <mergeCell ref="H35:I35"/>
    <mergeCell ref="F29:G29"/>
    <mergeCell ref="F16:G16"/>
    <mergeCell ref="H10:I10"/>
    <mergeCell ref="F25:G25"/>
    <mergeCell ref="J10:K10"/>
    <mergeCell ref="A24:K24"/>
    <mergeCell ref="B22:C22"/>
    <mergeCell ref="J19:K19"/>
    <mergeCell ref="H55:I55"/>
    <mergeCell ref="J59:K59"/>
    <mergeCell ref="A60:K60"/>
    <mergeCell ref="D22:E22"/>
    <mergeCell ref="J28:K28"/>
    <mergeCell ref="B31:C31"/>
    <mergeCell ref="D36:E36"/>
    <mergeCell ref="D45:E45"/>
    <mergeCell ref="H9:I9"/>
    <mergeCell ref="D31:E31"/>
    <mergeCell ref="B12:C12"/>
    <mergeCell ref="J9:K9"/>
    <mergeCell ref="H39:I39"/>
    <mergeCell ref="F15:G15"/>
    <mergeCell ref="A7:K7"/>
    <mergeCell ref="J53:K53"/>
    <mergeCell ref="D61:E61"/>
    <mergeCell ref="J45:K45"/>
    <mergeCell ref="D48:E48"/>
    <mergeCell ref="H52:I52"/>
    <mergeCell ref="B38:C38"/>
    <mergeCell ref="H45:I45"/>
    <mergeCell ref="A2:K2"/>
    <mergeCell ref="F59:I59"/>
    <mergeCell ref="D62:E62"/>
    <mergeCell ref="H37:I37"/>
    <mergeCell ref="J31:K31"/>
    <mergeCell ref="B40:C40"/>
    <mergeCell ref="B49:C49"/>
    <mergeCell ref="F43:G43"/>
    <mergeCell ref="B55:C55"/>
    <mergeCell ref="B33:C33"/>
    <mergeCell ref="D64:E64"/>
    <mergeCell ref="D33:E33"/>
    <mergeCell ref="B51:C51"/>
    <mergeCell ref="J62:K62"/>
    <mergeCell ref="D51:E51"/>
    <mergeCell ref="H15:I15"/>
    <mergeCell ref="B32:C32"/>
    <mergeCell ref="B26:C26"/>
    <mergeCell ref="B41:C41"/>
    <mergeCell ref="J58:K58"/>
    <mergeCell ref="D26:E26"/>
    <mergeCell ref="B35:C35"/>
    <mergeCell ref="D35:E35"/>
    <mergeCell ref="J64:K64"/>
    <mergeCell ref="B16:C16"/>
    <mergeCell ref="A66:C66"/>
    <mergeCell ref="D10:E10"/>
    <mergeCell ref="B25:C25"/>
    <mergeCell ref="F54:G54"/>
    <mergeCell ref="F10:G10"/>
    <mergeCell ref="D19:E19"/>
    <mergeCell ref="F58:I58"/>
    <mergeCell ref="H54:I54"/>
    <mergeCell ref="F34:G34"/>
    <mergeCell ref="F19:G19"/>
    <mergeCell ref="D34:E34"/>
    <mergeCell ref="H41:I41"/>
    <mergeCell ref="H50:I50"/>
    <mergeCell ref="B27:C27"/>
    <mergeCell ref="B18:C18"/>
    <mergeCell ref="H25:I25"/>
    <mergeCell ref="H34:I34"/>
    <mergeCell ref="J34:K34"/>
    <mergeCell ref="F30:G30"/>
    <mergeCell ref="B11:C11"/>
    <mergeCell ref="D11:E11"/>
    <mergeCell ref="F18:G18"/>
    <mergeCell ref="F33:G33"/>
    <mergeCell ref="F45:G45"/>
    <mergeCell ref="H49:I49"/>
    <mergeCell ref="J49:K49"/>
    <mergeCell ref="F42:G42"/>
    <mergeCell ref="J27:K27"/>
    <mergeCell ref="H36:I36"/>
    <mergeCell ref="D66:E66"/>
    <mergeCell ref="J36:K36"/>
    <mergeCell ref="B53:C53"/>
    <mergeCell ref="F17:G17"/>
    <mergeCell ref="D53:E53"/>
    <mergeCell ref="H17:I17"/>
    <mergeCell ref="H11:I11"/>
    <mergeCell ref="D47:E47"/>
    <mergeCell ref="J11:K11"/>
    <mergeCell ref="B29:C29"/>
    <mergeCell ref="F47:G47"/>
    <mergeCell ref="B37:C37"/>
    <mergeCell ref="A58:C58"/>
    <mergeCell ref="D37:E37"/>
    <mergeCell ref="F31:G31"/>
    <mergeCell ref="F46:G46"/>
    <mergeCell ref="H19:I19"/>
    <mergeCell ref="F28:G28"/>
    <mergeCell ref="A13:K13"/>
    <mergeCell ref="H28:I28"/>
    <mergeCell ref="J22:K22"/>
    <mergeCell ref="D9:E9"/>
    <mergeCell ref="F9:G9"/>
    <mergeCell ref="D39:E39"/>
    <mergeCell ref="F39:G39"/>
    <mergeCell ref="H12:I12"/>
    <mergeCell ref="J12:K12"/>
    <mergeCell ref="F48:G48"/>
    <mergeCell ref="B15:C15"/>
    <mergeCell ref="D15:E15"/>
    <mergeCell ref="J46:K46"/>
    <mergeCell ref="H48:I48"/>
    <mergeCell ref="D29:E29"/>
    <mergeCell ref="J51:K51"/>
    <mergeCell ref="D38:E38"/>
    <mergeCell ref="A63:K63"/>
    <mergeCell ref="F62:I62"/>
    <mergeCell ref="F44:G44"/>
    <mergeCell ref="J61:K61"/>
    <mergeCell ref="A68:K68"/>
    <mergeCell ref="J48:K48"/>
    <mergeCell ref="B54:C54"/>
    <mergeCell ref="J29:K29"/>
    <mergeCell ref="H38:I38"/>
    <mergeCell ref="J38:K38"/>
    <mergeCell ref="F61:I61"/>
    <mergeCell ref="H43:I43"/>
    <mergeCell ref="H31:I31"/>
    <mergeCell ref="A1:K1"/>
    <mergeCell ref="H40:I40"/>
    <mergeCell ref="D65:E65"/>
    <mergeCell ref="J40:K40"/>
    <mergeCell ref="B43:C43"/>
    <mergeCell ref="B52:C52"/>
    <mergeCell ref="A69:K69"/>
    <mergeCell ref="D52:E52"/>
    <mergeCell ref="F53:G53"/>
    <mergeCell ref="F64:I64"/>
    <mergeCell ref="D49:E49"/>
    <mergeCell ref="D27:E27"/>
    <mergeCell ref="B42:C42"/>
    <mergeCell ref="J8:K8"/>
    <mergeCell ref="A62:C62"/>
    <mergeCell ref="F36:G36"/>
    <mergeCell ref="J65:K65"/>
    <mergeCell ref="B17:C17"/>
    <mergeCell ref="F50:G50"/>
    <mergeCell ref="D17:E17"/>
    <mergeCell ref="J26:K26"/>
    <mergeCell ref="F8:G8"/>
    <mergeCell ref="J35:K35"/>
    <mergeCell ref="B44:C44"/>
    <mergeCell ref="H16:I16"/>
    <mergeCell ref="A21:K21"/>
    <mergeCell ref="J16:K16"/>
    <mergeCell ref="B34:C34"/>
    <mergeCell ref="B19:C19"/>
    <mergeCell ref="A57:K57"/>
    <mergeCell ref="J25:K25"/>
    <mergeCell ref="B28:C28"/>
    <mergeCell ref="D28:E28"/>
    <mergeCell ref="A67:I67"/>
    <mergeCell ref="F22:G22"/>
    <mergeCell ref="H22:I22"/>
    <mergeCell ref="B9:C9"/>
    <mergeCell ref="A59:C59"/>
    <mergeCell ref="J66:K66"/>
    <mergeCell ref="A14:K14"/>
    <mergeCell ref="A23:K23"/>
    <mergeCell ref="D12:E12"/>
    <mergeCell ref="A64:C64"/>
    <mergeCell ref="D25:E25"/>
    <mergeCell ref="B30:C30"/>
    <mergeCell ref="D55:E55"/>
    <mergeCell ref="D30:E30"/>
    <mergeCell ref="J50:K50"/>
    <mergeCell ref="A4:K4"/>
    <mergeCell ref="H42:I42"/>
    <mergeCell ref="A61:C61"/>
    <mergeCell ref="F66:I66"/>
    <mergeCell ref="J42:K42"/>
    <mergeCell ref="B45:C45"/>
    <mergeCell ref="F49:G49"/>
    <mergeCell ref="D54:E54"/>
    <mergeCell ref="J52:K52"/>
    <mergeCell ref="H30:I30"/>
    <mergeCell ref="J39:K39"/>
    <mergeCell ref="F11:G11"/>
    <mergeCell ref="J44:K44"/>
    <mergeCell ref="B47:C47"/>
    <mergeCell ref="J67:K67"/>
    <mergeCell ref="H29:I29"/>
    <mergeCell ref="B46:C46"/>
    <mergeCell ref="J37:K37"/>
    <mergeCell ref="D46:E46"/>
    <mergeCell ref="D40:E40"/>
    <mergeCell ref="H44:I44"/>
    <mergeCell ref="F40:G40"/>
    <mergeCell ref="B39:C39"/>
    <mergeCell ref="A6:K6"/>
    <mergeCell ref="J30:K30"/>
    <mergeCell ref="B48:C48"/>
    <mergeCell ref="F55:G55"/>
    <mergeCell ref="F12:G12"/>
    <mergeCell ref="H46:I46"/>
    <mergeCell ref="F51:G51"/>
    <mergeCell ref="J15:K15"/>
    <mergeCell ref="H51:I51"/>
    <mergeCell ref="D32:E32"/>
    <mergeCell ref="F32:G32"/>
    <mergeCell ref="D41:E41"/>
    <mergeCell ref="F65:I65"/>
    <mergeCell ref="F26:G26"/>
    <mergeCell ref="F41:G41"/>
    <mergeCell ref="J55:K55"/>
    <mergeCell ref="B8:C8"/>
    <mergeCell ref="F35:G35"/>
    <mergeCell ref="D16:E16"/>
    <mergeCell ref="A3:K3"/>
    <mergeCell ref="F38:G38"/>
    <mergeCell ref="H32:I32"/>
    <mergeCell ref="J54:K54"/>
    <mergeCell ref="D43:E43"/>
    <mergeCell ref="J32:K32"/>
    <mergeCell ref="B10:C10"/>
    <mergeCell ref="J41:K41"/>
    <mergeCell ref="D58:E58"/>
    <mergeCell ref="D18:E18"/>
    <mergeCell ref="H47:I47"/>
    <mergeCell ref="F27:G27"/>
    <mergeCell ref="J47:K47"/>
    <mergeCell ref="F52:G52"/>
    <mergeCell ref="H27:I27"/>
    <mergeCell ref="D8:E8"/>
    <mergeCell ref="F37:G37"/>
    <mergeCell ref="J43:K43"/>
    <mergeCell ref="A20:K20"/>
    <mergeCell ref="D42:E42"/>
    <mergeCell ref="H18:I18"/>
    <mergeCell ref="H33:I33"/>
    <mergeCell ref="J18:K18"/>
    <mergeCell ref="J33:K33"/>
    <mergeCell ref="B36:C36"/>
    <mergeCell ref="B50:C50"/>
    <mergeCell ref="H8:I8"/>
    <mergeCell ref="D50:E50"/>
    <mergeCell ref="A65:C65"/>
    <mergeCell ref="D44:E44"/>
    <mergeCell ref="D59:E59"/>
    <mergeCell ref="J17:K17"/>
    <mergeCell ref="H26:I26"/>
  </mergeCells>
  <dataValidations count="33">
    <dataValidation sqref="D15" showDropDown="0" showInputMessage="0" showErrorMessage="0" allowBlank="1" type="list">
      <formula1>"Essential,Professional,Command,Enterprise"</formula1>
      <formula2>0</formula2>
    </dataValidation>
    <dataValidation sqref="D16" showDropDown="0" showInputMessage="0" showErrorMessage="0" allowBlank="1" type="list">
      <formula1>"1-year,2-year,3-year"</formula1>
      <formula2>0</formula2>
    </dataValidation>
    <dataValidation sqref="D25" showDropDown="0" showInputMessage="0" showErrorMessage="0" allowBlank="1" type="list">
      <formula1>"None,Discovery Workshop ($7,500),Discovery Workshop Advanced ($15,000),Vendor Coordination Basic ($10,000),Vendor Coordination Premium ($25,000),Read-Only Tier 1 ($35,000),Read-Only Tier 2 ($55,000),Read-Only Tier 3 ($75,000),Read-Only Tier 4 ($100,000),A"</formula1>
      <formula2>0</formula2>
    </dataValidation>
    <dataValidation sqref="D26" showDropDown="0" showInputMessage="0" showErrorMessage="0" allowBlank="1" type="list">
      <formula1>"None,Basic 5-10 rules ($2,500/mo),Standard 10-25 rules ($5,000/mo),Premium 25+ rules ($7,500/mo)"</formula1>
      <formula2>0</formula2>
    </dataValidation>
    <dataValidation sqref="D27" showDropDown="0" showInputMessage="0" showErrorMessage="0" allowBlank="1" type="list">
      <formula1>"None,Basic ($1,500/mo),Advanced ($3,500/mo),Premium ($5,000/mo)"</formula1>
      <formula2>0</formula2>
    </dataValidation>
    <dataValidation sqref="D28" showDropDown="0" showInputMessage="0" showErrorMessage="0" allowBlank="1" type="list">
      <formula1>"None,Basic &lt;5K calls ($1,500/mo),Standard 5K-20K calls ($3,500/mo),Premium 20K+ calls ($5,000/mo)"</formula1>
      <formula2>0</formula2>
    </dataValidation>
    <dataValidation sqref="D29" showDropDown="0" showInputMessage="0" showErrorMessage="0" allowBlank="1" type="list">
      <formula1>"None,Standard ($2,500/mo),Advanced ($10,000/mo)"</formula1>
      <formula2>0</formula2>
    </dataValidation>
    <dataValidation sqref="D30" showDropDown="0" showInputMessage="0" showErrorMessage="0" allowBlank="1" type="list">
      <formula1>"None,Tier 1 &lt;5K calls ($1,500/mo),Tier 2 5K-15K calls ($3,000/mo),Tier 3 15K+ calls ($5,000/mo)"</formula1>
      <formula2>0</formula2>
    </dataValidation>
    <dataValidation sqref="D31" showDropDown="0" showInputMessage="0" showErrorMessage="0" allowBlank="1" type="list">
      <formula1>"None,Tier 1 &lt;5K ($1,000/mo),Tier 2 5K-15K ($2,500/mo),Tier 3 15K+ ($4,000/mo)"</formula1>
      <formula2>0</formula2>
    </dataValidation>
    <dataValidation sqref="D32" showDropDown="0" showInputMessage="0" showErrorMessage="0" allowBlank="1" type="list">
      <formula1>"None (included Pro+),Tier 1 2-3 languages ($2,500/mo),Tier 2 4-6 languages ($5,500/mo),Tier 3 7-10 languages ($8,000/mo),Tier 4 10+ languages ($10,000/mo)"</formula1>
      <formula2>0</formula2>
    </dataValidation>
    <dataValidation sqref="D33" showDropDown="0" showInputMessage="0" showErrorMessage="0" allowBlank="1" type="list">
      <formula1>"None,Top 10 Languages ($3,500/mo),Top 15 Languages ($5,000/mo)"</formula1>
      <formula2>0</formula2>
    </dataValidation>
    <dataValidation sqref="D34" showDropDown="0" showInputMessage="0" showErrorMessage="0" allowBlank="1" type="list">
      <formula1>"None,Basic &lt;500 links ($1,500/mo),Standard ($5,000/mo)"</formula1>
      <formula2>0</formula2>
    </dataValidation>
    <dataValidation sqref="D35" showDropDown="0" showInputMessage="0" showErrorMessage="0" allowBlank="1" type="list">
      <formula1>"None,Basic 500 photos ($1,000/mo),Standard 2K photos ($2,500/mo),Premium 5K+ photos ($4,000/mo)"</formula1>
      <formula2>0</formula2>
    </dataValidation>
    <dataValidation sqref="D36" showDropDown="0" showInputMessage="0" showErrorMessage="0" allowBlank="1" type="list">
      <formula1>"None,Standard ($2,500/mo),Premium ($8,500/mo)"</formula1>
      <formula2>0</formula2>
    </dataValidation>
    <dataValidation sqref="D37" showDropDown="0" showInputMessage="0" showErrorMessage="0" allowBlank="1" type="list">
      <formula1>"None,Standard ($5,000/mo),Premium ($20,000/mo)"</formula1>
      <formula2>0</formula2>
    </dataValidation>
    <dataValidation sqref="D38" showDropDown="0" showInputMessage="0" showErrorMessage="0" allowBlank="1" type="list">
      <formula1>"None,Audit Trail ($1,500/mo),Audit + Redaction ($7,500/mo)"</formula1>
      <formula2>0</formula2>
    </dataValidation>
    <dataValidation sqref="D39" showDropDown="0" showInputMessage="0" showErrorMessage="0" allowBlank="1" type="list">
      <formula1>"None (included Pro+),Basic Scorecards ($1,000/mo),Full QA Suite ($3,500/mo),QA Suite + AI Grading ($6,000/mo)"</formula1>
      <formula2>0</formula2>
    </dataValidation>
    <dataValidation sqref="D40" showDropDown="0" showInputMessage="0" showErrorMessage="0" allowBlank="1" type="list">
      <formula1>"None (included Pro+),Standard ($2,000/mo),Advanced ($7,500/mo)"</formula1>
      <formula2>0</formula2>
    </dataValidation>
    <dataValidation sqref="D41" showDropDown="0" showInputMessage="0" showErrorMessage="0" allowBlank="1" type="list">
      <formula1>"None (included Command+),Basic Package ($5,000/mo),Full Command Suite ($12,500/mo)"</formula1>
      <formula2>0</formula2>
    </dataValidation>
    <dataValidation sqref="D42" showDropDown="0" showInputMessage="0" showErrorMessage="0" allowBlank="1" type="list">
      <formula1>"None (included Command+),Basic Monitoring ($2,500/mo),Full Reliability Suite ($7,500/mo)"</formula1>
      <formula2>0</formula2>
    </dataValidation>
    <dataValidation sqref="D43" showDropDown="0" showInputMessage="0" showErrorMessage="0" allowBlank="1" type="list">
      <formula1>"Standard (Included),Priority Small &lt;25 users ($2,500/mo),Priority Medium 25-75 ($5,000/mo),Priority Large 75+ ($7,500/mo),Mission-Critical (Custom)"</formula1>
      <formula2>0</formula2>
    </dataValidation>
    <dataValidation sqref="D44" showDropDown="0" showInputMessage="0" showErrorMessage="0" allowBlank="1" type="list">
      <formula1>"None,Discovery Visit ($10,000),Pilot Launch Support ($35,000),Go-Live Support ($65,000),Full Program ($100,000)"</formula1>
      <formula2>0</formula2>
    </dataValidation>
    <dataValidation sqref="D45" showDropDown="0" showInputMessage="0" showErrorMessage="0" allowBlank="1" type="list">
      <formula1>"Standard Onboarding (Included),Remote Package ($5,000),Onsite Dispatcher ($20,000),Onsite Supervisor ($20,000),Train-the-Trainer ($30,000),Custom Program ($50,000)"</formula1>
      <formula2>0</formula2>
    </dataValidation>
    <dataValidation sqref="D46" showDropDown="0" showInputMessage="0" showErrorMessage="0" allowBlank="1" type="list">
      <formula1>"None,Module ($4,500/mo),Module + CAD Push ($6,000/mo),Full (module+CAD+RMS) ($7,500/mo)"</formula1>
    </dataValidation>
    <dataValidation sqref="D47" showDropDown="0" showInputMessage="0" showErrorMessage="0" allowBlank="1" type="list">
      <formula1>"None,Standard 10 cameras ($500/mo),Professional 50 cameras ($1,500/mo),Enterprise unlimited ($4,000/mo)"</formula1>
    </dataValidation>
    <dataValidation sqref="D48" showDropDown="0" showInputMessage="0" showErrorMessage="0" allowBlank="1" type="list">
      <formula1>"None (included Pro+),None,Essential add-on ($1,500/mo),Essential add-on ($3,500/mo)"</formula1>
    </dataValidation>
    <dataValidation sqref="D49" showDropDown="0" showInputMessage="0" showErrorMessage="0" allowBlank="1" type="list">
      <formula1>"None,Standard ($1,500/mo),Advanced ($4,000/mo)"</formula1>
    </dataValidation>
    <dataValidation sqref="D50" showDropDown="0" showInputMessage="0" showErrorMessage="0" allowBlank="1" type="list">
      <formula1>"None,Standard ($1,200/mo),Extended ($3,500/mo)"</formula1>
    </dataValidation>
    <dataValidation sqref="D51" showDropDown="0" showInputMessage="0" showErrorMessage="0" allowBlank="1" type="list">
      <formula1>"None,Module ($3,500/mo),Module + sentinel ($7,500/mo)"</formula1>
    </dataValidation>
    <dataValidation sqref="D52" showDropDown="0" showInputMessage="0" showErrorMessage="0" allowBlank="1" type="list">
      <formula1>"None,Multi-CAD Connector ($3,500/mo),Regional mesh ($8,000/mo)"</formula1>
    </dataValidation>
    <dataValidation sqref="D53" showDropDown="0" showInputMessage="0" showErrorMessage="0" allowBlank="1" type="list">
      <formula1>"None,Alerts ($1,500/mo),Alerts + short code ($2,250/mo)"</formula1>
    </dataValidation>
    <dataValidation sqref="D54" showDropDown="0" showInputMessage="0" showErrorMessage="0" allowBlank="1" type="list">
      <formula1>"None,Ops Translate ($1,000/mo),Ops Translate ($3,000/mo)"</formula1>
    </dataValidation>
    <dataValidation sqref="D55" showDropDown="0" showInputMessage="0" showErrorMessage="0" allowBlank="1" type="list">
      <formula1>"None,Discovery-scoped ($2,500/mo),Discovery-scoped ($7,500/mo)"</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2026-05-19T21:28:48Z</dcterms:created>
  <dcterms:modified xsi:type="dcterms:W3CDTF">2026-10-09T22:52:11Z</dcterms:modified>
  <cp:lastModifiedBy>J.W. Coleman</cp:lastModifiedBy>
  <cp:revision>0</cp:revision>
  <cp:lastPrinted>2026-10-04T23:25:33Z</cp:lastPrinted>
</cp:coreProperties>
</file>