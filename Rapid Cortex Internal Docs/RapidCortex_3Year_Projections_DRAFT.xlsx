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effcoleman/Downloads/"/>
    </mc:Choice>
  </mc:AlternateContent>
  <xr:revisionPtr revIDLastSave="0" documentId="13_ncr:1_{F0BB65BF-8114-8B40-824C-987E04FDE967}" xr6:coauthVersionLast="47" xr6:coauthVersionMax="47" xr10:uidLastSave="{00000000-0000-0000-0000-000000000000}"/>
  <bookViews>
    <workbookView xWindow="-37700" yWindow="500" windowWidth="33900" windowHeight="19820" tabRatio="500" xr2:uid="{00000000-000D-0000-FFFF-FFFF00000000}"/>
  </bookViews>
  <sheets>
    <sheet name="Assumptions" sheetId="1" r:id="rId1"/>
    <sheet name="3-Year Projection" sheetId="2" r:id="rId2"/>
    <sheet name="Not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2" l="1"/>
  <c r="C28" i="2"/>
  <c r="B28" i="2"/>
  <c r="B11" i="2"/>
  <c r="B10" i="2"/>
  <c r="B9" i="2"/>
  <c r="B8" i="2"/>
  <c r="B7" i="2"/>
  <c r="B6" i="2"/>
  <c r="D9" i="1"/>
  <c r="D8" i="1"/>
  <c r="D7" i="1"/>
  <c r="D6" i="1"/>
  <c r="B19" i="2" l="1"/>
  <c r="C11" i="2"/>
  <c r="B18" i="2"/>
  <c r="C10" i="2"/>
  <c r="B17" i="2"/>
  <c r="C9" i="2"/>
  <c r="B16" i="2"/>
  <c r="C8" i="2"/>
  <c r="B15" i="2"/>
  <c r="C7" i="2"/>
  <c r="B14" i="2"/>
  <c r="C6" i="2"/>
  <c r="D11" i="2" l="1"/>
  <c r="D19" i="2" s="1"/>
  <c r="C19" i="2"/>
  <c r="D10" i="2"/>
  <c r="D18" i="2" s="1"/>
  <c r="C18" i="2"/>
  <c r="C17" i="2"/>
  <c r="D9" i="2"/>
  <c r="D17" i="2" s="1"/>
  <c r="C16" i="2"/>
  <c r="D8" i="2"/>
  <c r="D16" i="2" s="1"/>
  <c r="D7" i="2"/>
  <c r="D15" i="2" s="1"/>
  <c r="C15" i="2"/>
  <c r="D6" i="2"/>
  <c r="D14" i="2" s="1"/>
  <c r="C14" i="2"/>
  <c r="B21" i="2"/>
  <c r="B27" i="2" l="1"/>
  <c r="B26" i="2"/>
  <c r="B23" i="2"/>
  <c r="B24" i="2" s="1"/>
  <c r="D21" i="2"/>
  <c r="C21" i="2"/>
  <c r="B30" i="2" l="1"/>
  <c r="D27" i="2"/>
  <c r="D26" i="2"/>
  <c r="D23" i="2"/>
  <c r="D24" i="2" s="1"/>
  <c r="C27" i="2"/>
  <c r="C26" i="2"/>
  <c r="C23" i="2"/>
  <c r="C24" i="2" s="1"/>
  <c r="D30" i="2" l="1"/>
  <c r="C30" i="2"/>
</calcChain>
</file>

<file path=xl/sharedStrings.xml><?xml version="1.0" encoding="utf-8"?>
<sst xmlns="http://schemas.openxmlformats.org/spreadsheetml/2006/main" count="71" uniqueCount="59">
  <si>
    <t>NexCort iQ — 3-Year Projection Model: Assumptions</t>
  </si>
  <si>
    <t>CORE — ACV by plan (real, from internal pricing schedule)</t>
  </si>
  <si>
    <t>Plan</t>
  </si>
  <si>
    <t>Low ($)</t>
  </si>
  <si>
    <t>High ($)</t>
  </si>
  <si>
    <t>Midpoint ACV ($) — used in model</t>
  </si>
  <si>
    <t>Essential</t>
  </si>
  <si>
    <t>Professional</t>
  </si>
  <si>
    <t>Command</t>
  </si>
  <si>
    <t>Enterprise / Statewide</t>
  </si>
  <si>
    <t>CAMPUS &amp; VENUE — pricing (real model; venue ACV requires your input)</t>
  </si>
  <si>
    <t>Campus rate per enrolled student / year</t>
  </si>
  <si>
    <t>Venue — blended ACV per venue customer (ENTER ASSUMPTION — no public per-tier $ on file)</t>
  </si>
  <si>
    <t>CUSTOMER GROWTH — ENTER ASSUMPTION (new customers added during each year)</t>
  </si>
  <si>
    <t>Segment</t>
  </si>
  <si>
    <t>Year 1 new</t>
  </si>
  <si>
    <t>Year 2 new</t>
  </si>
  <si>
    <t>Year 3 new</t>
  </si>
  <si>
    <t>Annual churn % (of prior base)</t>
  </si>
  <si>
    <t>Core — Essential</t>
  </si>
  <si>
    <t>Core — Professional</t>
  </si>
  <si>
    <t>Core — Command</t>
  </si>
  <si>
    <t>Core — Enterprise / Statewide</t>
  </si>
  <si>
    <t>Campus (customers; pair with enrollment below)</t>
  </si>
  <si>
    <t>Venue</t>
  </si>
  <si>
    <t>Average enrolled students per Campus customer (ENTER ASSUMPTION)</t>
  </si>
  <si>
    <t>COST ASSUMPTIONS — ENTER ASSUMPTION (% of that year's total revenue, unless noted)</t>
  </si>
  <si>
    <t>Cost of service / hosting (COGS) %</t>
  </si>
  <si>
    <t>Sales &amp; marketing %</t>
  </si>
  <si>
    <t>R&amp;D / engineering %</t>
  </si>
  <si>
    <t>General &amp; administrative — fixed $/year</t>
  </si>
  <si>
    <t>NexCort iQ — 3-Year Revenue &amp; Cost Projection</t>
  </si>
  <si>
    <t>100% formula-driven from the Assumptions tab. No revenue, customer, or cost figures are hardcoded here — change Assumptions and this entire sheet recalculates.</t>
  </si>
  <si>
    <t>Year 1</t>
  </si>
  <si>
    <t>Year 2</t>
  </si>
  <si>
    <t>Year 3</t>
  </si>
  <si>
    <t>Ending customers — by segment</t>
  </si>
  <si>
    <t>Revenue by segment ($)</t>
  </si>
  <si>
    <t>Total Revenue</t>
  </si>
  <si>
    <t>Cost of service / hosting (COGS)</t>
  </si>
  <si>
    <t>Gross Profit</t>
  </si>
  <si>
    <t>Sales &amp; marketing</t>
  </si>
  <si>
    <t>R&amp;D / engineering</t>
  </si>
  <si>
    <t>General &amp; administrative</t>
  </si>
  <si>
    <t>Operating Income (Loss)</t>
  </si>
  <si>
    <t>How to use this model</t>
  </si>
  <si>
    <t>1. Go to the Assumptions tab. Every yellow cell is an input. Pricing rows (Core ACV midpoints, Campus per-student rate) are pre-filled with real figures from the internal pricing schedule — leave these unless your actual pricing has changed.</t>
  </si>
  <si>
    <t>2. Fill in customer growth assumptions: how many new customers per segment you expect to add in Year 1, Year 2, and Year 3, plus an annual churn % for each segment. These default to 0, which will make the Projection tab show $0 until you enter real numbers — that is intentional, not an error.</t>
  </si>
  <si>
    <t>3. Fill in cost assumptions (COGS %, S&amp;M %, R&amp;D %, G&amp;A $/year). These also default to 0.</t>
  </si>
  <si>
    <t>4. The '3-Year Projection' tab is 100% formulas — nothing is hardcoded. Change any assumption and the whole model recalculates.</t>
  </si>
  <si>
    <t>What's real vs. what needs your input</t>
  </si>
  <si>
    <t>Real, sourced figures: Core plan pricing ranges and the $1.40/student Campus rate, both from the internal pricing schedule referenced elsewhere in this project.</t>
  </si>
  <si>
    <t>Needs your input, currently 0 / placeholder: every customer-count and churn assumption, every cost assumption, and the Venue blended ACV (no specific per-tier dollar figure was found in any document reviewed — only that Venue pricing is tiered by capacity).</t>
  </si>
  <si>
    <t>Model simplifications, stated plainly</t>
  </si>
  <si>
    <t>Revenue for each year is computed off that year's ending customer count × ACV (a run-rate approximation), not a month-by-month ramp. This is a reasonable simplification for an early 3-year model but will overstate Year 1 revenue somewhat for any customer who doesn't sign on day one of the year — worth refining later with actual contract start dates.</t>
  </si>
  <si>
    <t>Churn is applied to the prior year's ending base before adding that year's new customers.</t>
  </si>
  <si>
    <t>Enterprise/Statewide pricing has an extremely wide range ($720K–$10M+) — the model uses the simple average as a placeholder midpoint, which is unlikely to be representative for this tier specifically. If you expect any Enterprise/Statewide deals, override that ACV manually with a realistic deal-size assumption rather than relying on the averaged midpoint.</t>
  </si>
  <si>
    <t>What this is not</t>
  </si>
  <si>
    <t>This is not a substitute for an actual financial plan built with your management team's real pipeline, hiring plan, and cost structure. It's a correctly-wired calculation engine waiting for your real numbers — treat the current file (all zeros) as a template, not a forecast.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</si>
</sst>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0.00"/>
    <numFmt numFmtId="166" formatCode="0.0%"/>
    <numFmt numFmtId="167" formatCode="\$#,##0;&quot;($&quot;#,##0\)"/>
  </numFmts>
  <fonts count="12" x14ac:knownFonts="1">
    <font>
      <sz val="11"/>
      <color theme="1"/>
      <name val="Calibri"/>
      <family val="2"/>
      <charset val="1"/>
    </font>
    <font>
      <b/>
      <sz val="14"/>
      <color rgb="FF0B2545"/>
      <name val="Arial"/>
      <family val="2"/>
    </font>
    <font>
      <i/>
      <sz val="10"/>
      <color rgb="FFC8102E"/>
      <name val="Arial"/>
      <family val="2"/>
    </font>
    <font>
      <b/>
      <sz val="11"/>
      <color rgb="FF0B254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0B2545"/>
      <name val="Arial"/>
      <family val="2"/>
    </font>
    <font>
      <b/>
      <sz val="12"/>
      <color rgb="FF0B2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7CDD3"/>
      </left>
      <right style="thin">
        <color rgb="FFC7CDD3"/>
      </right>
      <top style="thin">
        <color rgb="FFC7CDD3"/>
      </top>
      <bottom style="thin">
        <color rgb="FFC7CDD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4" fontId="6" fillId="0" borderId="1" xfId="0" applyNumberFormat="1" applyFont="1" applyBorder="1"/>
    <xf numFmtId="165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Font="1" applyFill="1" applyBorder="1"/>
    <xf numFmtId="166" fontId="7" fillId="3" borderId="1" xfId="0" applyNumberFormat="1" applyFont="1" applyFill="1" applyBorder="1"/>
    <xf numFmtId="0" fontId="8" fillId="0" borderId="0" xfId="0" applyFont="1" applyAlignment="1">
      <alignment vertical="center" wrapText="1"/>
    </xf>
    <xf numFmtId="1" fontId="6" fillId="0" borderId="1" xfId="0" applyNumberFormat="1" applyFont="1" applyBorder="1"/>
    <xf numFmtId="164" fontId="9" fillId="0" borderId="1" xfId="0" applyNumberFormat="1" applyFont="1" applyBorder="1"/>
    <xf numFmtId="0" fontId="10" fillId="0" borderId="0" xfId="0" applyFont="1" applyAlignment="1">
      <alignment vertical="center" wrapText="1"/>
    </xf>
    <xf numFmtId="167" fontId="9" fillId="0" borderId="1" xfId="0" applyNumberFormat="1" applyFont="1" applyBorder="1"/>
    <xf numFmtId="0" fontId="11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DD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tabSelected="1" zoomScaleNormal="100" workbookViewId="0">
      <pane ySplit="3" topLeftCell="A4" activePane="bottomLeft" state="frozen"/>
      <selection pane="bottomLeft" activeCell="F15" sqref="F15"/>
    </sheetView>
  </sheetViews>
  <sheetFormatPr baseColWidth="10" defaultColWidth="8.6640625" defaultRowHeight="15" x14ac:dyDescent="0.2"/>
  <cols>
    <col min="1" max="1" width="46" customWidth="1"/>
    <col min="2" max="6" width="18" customWidth="1"/>
  </cols>
  <sheetData>
    <row r="1" spans="1:6" ht="38" x14ac:dyDescent="0.2">
      <c r="A1" s="2" t="s">
        <v>0</v>
      </c>
    </row>
    <row r="2" spans="1:6" ht="30" customHeight="1" x14ac:dyDescent="0.2">
      <c r="A2" s="1"/>
      <c r="B2" s="1"/>
      <c r="C2" s="1"/>
      <c r="D2" s="1"/>
      <c r="E2" s="1"/>
      <c r="F2" s="1"/>
    </row>
    <row r="4" spans="1:6" ht="30" x14ac:dyDescent="0.2">
      <c r="A4" s="3" t="s">
        <v>1</v>
      </c>
    </row>
    <row r="5" spans="1:6" ht="28" x14ac:dyDescent="0.2">
      <c r="A5" s="4" t="s">
        <v>2</v>
      </c>
      <c r="B5" s="4" t="s">
        <v>3</v>
      </c>
      <c r="C5" s="4" t="s">
        <v>4</v>
      </c>
      <c r="D5" s="4" t="s">
        <v>5</v>
      </c>
    </row>
    <row r="6" spans="1:6" x14ac:dyDescent="0.2">
      <c r="A6" s="5" t="s">
        <v>6</v>
      </c>
      <c r="B6" s="6">
        <v>33600</v>
      </c>
      <c r="C6" s="6">
        <v>72000</v>
      </c>
      <c r="D6" s="6">
        <f>AVERAGE(B6:C6)</f>
        <v>52800</v>
      </c>
    </row>
    <row r="7" spans="1:6" x14ac:dyDescent="0.2">
      <c r="A7" s="5" t="s">
        <v>7</v>
      </c>
      <c r="B7" s="6">
        <v>102000</v>
      </c>
      <c r="C7" s="6">
        <v>216000</v>
      </c>
      <c r="D7" s="6">
        <f>AVERAGE(B7:C7)</f>
        <v>159000</v>
      </c>
    </row>
    <row r="8" spans="1:6" x14ac:dyDescent="0.2">
      <c r="A8" s="5" t="s">
        <v>8</v>
      </c>
      <c r="B8" s="6">
        <v>270000</v>
      </c>
      <c r="C8" s="6">
        <v>600000</v>
      </c>
      <c r="D8" s="6">
        <f>AVERAGE(B8:C8)</f>
        <v>435000</v>
      </c>
    </row>
    <row r="9" spans="1:6" x14ac:dyDescent="0.2">
      <c r="A9" s="5" t="s">
        <v>9</v>
      </c>
      <c r="B9" s="6">
        <v>720000</v>
      </c>
      <c r="C9" s="6">
        <v>10000000</v>
      </c>
      <c r="D9" s="6">
        <f>AVERAGE(B9:C9)</f>
        <v>5360000</v>
      </c>
    </row>
    <row r="11" spans="1:6" ht="30" x14ac:dyDescent="0.2">
      <c r="A11" s="3" t="s">
        <v>10</v>
      </c>
    </row>
    <row r="12" spans="1:6" x14ac:dyDescent="0.2">
      <c r="A12" s="5" t="s">
        <v>11</v>
      </c>
      <c r="B12" s="7">
        <v>1.4</v>
      </c>
    </row>
    <row r="13" spans="1:6" ht="28" x14ac:dyDescent="0.2">
      <c r="A13" s="5" t="s">
        <v>12</v>
      </c>
      <c r="B13" s="8">
        <v>12350</v>
      </c>
    </row>
    <row r="15" spans="1:6" ht="30" x14ac:dyDescent="0.2">
      <c r="A15" s="3" t="s">
        <v>13</v>
      </c>
    </row>
    <row r="16" spans="1:6" ht="28" x14ac:dyDescent="0.2">
      <c r="A16" s="4" t="s">
        <v>14</v>
      </c>
      <c r="B16" s="4" t="s">
        <v>15</v>
      </c>
      <c r="C16" s="4" t="s">
        <v>16</v>
      </c>
      <c r="D16" s="4" t="s">
        <v>17</v>
      </c>
      <c r="E16" s="4" t="s">
        <v>18</v>
      </c>
    </row>
    <row r="17" spans="1:5" x14ac:dyDescent="0.2">
      <c r="A17" s="5" t="s">
        <v>19</v>
      </c>
      <c r="B17" s="9">
        <v>1</v>
      </c>
      <c r="C17" s="9">
        <v>2</v>
      </c>
      <c r="D17" s="9">
        <v>8</v>
      </c>
      <c r="E17" s="10">
        <v>0</v>
      </c>
    </row>
    <row r="18" spans="1:5" x14ac:dyDescent="0.2">
      <c r="A18" s="5" t="s">
        <v>20</v>
      </c>
      <c r="B18" s="9">
        <v>1</v>
      </c>
      <c r="C18" s="9">
        <v>5</v>
      </c>
      <c r="D18" s="9">
        <v>6</v>
      </c>
      <c r="E18" s="10">
        <v>0</v>
      </c>
    </row>
    <row r="19" spans="1:5" x14ac:dyDescent="0.2">
      <c r="A19" s="5" t="s">
        <v>21</v>
      </c>
      <c r="B19" s="9">
        <v>0</v>
      </c>
      <c r="C19" s="9">
        <v>1</v>
      </c>
      <c r="D19" s="9">
        <v>5</v>
      </c>
      <c r="E19" s="10">
        <v>0</v>
      </c>
    </row>
    <row r="20" spans="1:5" x14ac:dyDescent="0.2">
      <c r="A20" s="5" t="s">
        <v>22</v>
      </c>
      <c r="B20" s="9">
        <v>0</v>
      </c>
      <c r="C20" s="9">
        <v>0</v>
      </c>
      <c r="D20" s="9">
        <v>2</v>
      </c>
      <c r="E20" s="10">
        <v>0</v>
      </c>
    </row>
    <row r="21" spans="1:5" x14ac:dyDescent="0.2">
      <c r="A21" s="5" t="s">
        <v>23</v>
      </c>
      <c r="B21" s="9">
        <v>2</v>
      </c>
      <c r="C21" s="9">
        <v>12</v>
      </c>
      <c r="D21" s="9">
        <v>28</v>
      </c>
      <c r="E21" s="10">
        <v>0</v>
      </c>
    </row>
    <row r="22" spans="1:5" x14ac:dyDescent="0.2">
      <c r="A22" s="5" t="s">
        <v>24</v>
      </c>
      <c r="B22" s="9">
        <v>2</v>
      </c>
      <c r="C22" s="9">
        <v>6</v>
      </c>
      <c r="D22" s="9">
        <v>18</v>
      </c>
      <c r="E22" s="10">
        <v>0</v>
      </c>
    </row>
    <row r="24" spans="1:5" ht="28" x14ac:dyDescent="0.2">
      <c r="A24" s="5" t="s">
        <v>25</v>
      </c>
      <c r="B24" s="9">
        <v>8524</v>
      </c>
    </row>
    <row r="26" spans="1:5" ht="30" x14ac:dyDescent="0.2">
      <c r="A26" s="3" t="s">
        <v>26</v>
      </c>
    </row>
    <row r="27" spans="1:5" x14ac:dyDescent="0.2">
      <c r="A27" s="5" t="s">
        <v>27</v>
      </c>
      <c r="B27" s="10">
        <v>0</v>
      </c>
    </row>
    <row r="28" spans="1:5" x14ac:dyDescent="0.2">
      <c r="A28" s="5" t="s">
        <v>28</v>
      </c>
      <c r="B28" s="10">
        <v>0</v>
      </c>
    </row>
    <row r="29" spans="1:5" x14ac:dyDescent="0.2">
      <c r="A29" s="5" t="s">
        <v>29</v>
      </c>
      <c r="B29" s="10">
        <v>0</v>
      </c>
    </row>
    <row r="30" spans="1:5" x14ac:dyDescent="0.2">
      <c r="A30" s="5" t="s">
        <v>30</v>
      </c>
      <c r="B30" s="8">
        <v>0</v>
      </c>
    </row>
  </sheetData>
  <mergeCells count="1">
    <mergeCell ref="A2:F2"/>
  </mergeCells>
  <pageMargins left="0.75" right="0.75" top="1" bottom="1" header="0.511811023622047" footer="0.511811023622047"/>
  <pageSetup paperSize="9" scale="8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42" customWidth="1"/>
    <col min="2" max="4" width="18" customWidth="1"/>
  </cols>
  <sheetData>
    <row r="1" spans="1:4" ht="38" x14ac:dyDescent="0.2">
      <c r="A1" s="2" t="s">
        <v>31</v>
      </c>
    </row>
    <row r="2" spans="1:4" ht="23.75" customHeight="1" x14ac:dyDescent="0.2">
      <c r="A2" s="1" t="s">
        <v>32</v>
      </c>
      <c r="B2" s="1"/>
      <c r="C2" s="1"/>
      <c r="D2" s="1"/>
    </row>
    <row r="4" spans="1:4" x14ac:dyDescent="0.2">
      <c r="A4" s="4"/>
      <c r="B4" s="4" t="s">
        <v>33</v>
      </c>
      <c r="C4" s="4" t="s">
        <v>34</v>
      </c>
      <c r="D4" s="4" t="s">
        <v>35</v>
      </c>
    </row>
    <row r="5" spans="1:4" x14ac:dyDescent="0.2">
      <c r="A5" s="11" t="s">
        <v>36</v>
      </c>
    </row>
    <row r="6" spans="1:4" x14ac:dyDescent="0.2">
      <c r="A6" s="5" t="s">
        <v>19</v>
      </c>
      <c r="B6" s="12">
        <f>Assumptions!B17</f>
        <v>1</v>
      </c>
      <c r="C6" s="12">
        <f>B6*(1-Assumptions!E17)+Assumptions!C17</f>
        <v>3</v>
      </c>
      <c r="D6" s="12">
        <f>C6*(1-Assumptions!E17)+Assumptions!D17</f>
        <v>11</v>
      </c>
    </row>
    <row r="7" spans="1:4" x14ac:dyDescent="0.2">
      <c r="A7" s="5" t="s">
        <v>20</v>
      </c>
      <c r="B7" s="12">
        <f>Assumptions!B18</f>
        <v>1</v>
      </c>
      <c r="C7" s="12">
        <f>B7*(1-Assumptions!E18)+Assumptions!C18</f>
        <v>6</v>
      </c>
      <c r="D7" s="12">
        <f>C7*(1-Assumptions!E18)+Assumptions!D18</f>
        <v>12</v>
      </c>
    </row>
    <row r="8" spans="1:4" x14ac:dyDescent="0.2">
      <c r="A8" s="5" t="s">
        <v>21</v>
      </c>
      <c r="B8" s="12">
        <f>Assumptions!B19</f>
        <v>0</v>
      </c>
      <c r="C8" s="12">
        <f>B8*(1-Assumptions!E19)+Assumptions!C19</f>
        <v>1</v>
      </c>
      <c r="D8" s="12">
        <f>C8*(1-Assumptions!E19)+Assumptions!D19</f>
        <v>6</v>
      </c>
    </row>
    <row r="9" spans="1:4" x14ac:dyDescent="0.2">
      <c r="A9" s="5" t="s">
        <v>22</v>
      </c>
      <c r="B9" s="12">
        <f>Assumptions!B20</f>
        <v>0</v>
      </c>
      <c r="C9" s="12">
        <f>B9*(1-Assumptions!E20)+Assumptions!C20</f>
        <v>0</v>
      </c>
      <c r="D9" s="12">
        <f>C9*(1-Assumptions!E20)+Assumptions!D20</f>
        <v>2</v>
      </c>
    </row>
    <row r="10" spans="1:4" x14ac:dyDescent="0.2">
      <c r="A10" s="5" t="s">
        <v>23</v>
      </c>
      <c r="B10" s="12">
        <f>Assumptions!B21</f>
        <v>2</v>
      </c>
      <c r="C10" s="12">
        <f>B10*(1-Assumptions!E21)+Assumptions!C21</f>
        <v>14</v>
      </c>
      <c r="D10" s="12">
        <f>C10*(1-Assumptions!E21)+Assumptions!D21</f>
        <v>42</v>
      </c>
    </row>
    <row r="11" spans="1:4" x14ac:dyDescent="0.2">
      <c r="A11" s="5" t="s">
        <v>24</v>
      </c>
      <c r="B11" s="12">
        <f>Assumptions!B22</f>
        <v>2</v>
      </c>
      <c r="C11" s="12">
        <f>B11*(1-Assumptions!E22)+Assumptions!C22</f>
        <v>8</v>
      </c>
      <c r="D11" s="12">
        <f>C11*(1-Assumptions!E22)+Assumptions!D22</f>
        <v>26</v>
      </c>
    </row>
    <row r="13" spans="1:4" x14ac:dyDescent="0.2">
      <c r="A13" s="11" t="s">
        <v>37</v>
      </c>
    </row>
    <row r="14" spans="1:4" x14ac:dyDescent="0.2">
      <c r="A14" s="5" t="s">
        <v>19</v>
      </c>
      <c r="B14" s="6">
        <f>B6*Assumptions!$D$6</f>
        <v>52800</v>
      </c>
      <c r="C14" s="6">
        <f>C6*Assumptions!$D$6</f>
        <v>158400</v>
      </c>
      <c r="D14" s="6">
        <f>D6*Assumptions!$D$6</f>
        <v>580800</v>
      </c>
    </row>
    <row r="15" spans="1:4" x14ac:dyDescent="0.2">
      <c r="A15" s="5" t="s">
        <v>20</v>
      </c>
      <c r="B15" s="6">
        <f>B7*Assumptions!$D$7</f>
        <v>159000</v>
      </c>
      <c r="C15" s="6">
        <f>C7*Assumptions!$D$7</f>
        <v>954000</v>
      </c>
      <c r="D15" s="6">
        <f>D7*Assumptions!$D$7</f>
        <v>1908000</v>
      </c>
    </row>
    <row r="16" spans="1:4" x14ac:dyDescent="0.2">
      <c r="A16" s="5" t="s">
        <v>21</v>
      </c>
      <c r="B16" s="6">
        <f>B8*Assumptions!$D$8</f>
        <v>0</v>
      </c>
      <c r="C16" s="6">
        <f>C8*Assumptions!$D$8</f>
        <v>435000</v>
      </c>
      <c r="D16" s="6">
        <f>D8*Assumptions!$D$8</f>
        <v>2610000</v>
      </c>
    </row>
    <row r="17" spans="1:4" x14ac:dyDescent="0.2">
      <c r="A17" s="5" t="s">
        <v>22</v>
      </c>
      <c r="B17" s="6">
        <f>B9*Assumptions!$D$9</f>
        <v>0</v>
      </c>
      <c r="C17" s="6">
        <f>C9*Assumptions!$D$9</f>
        <v>0</v>
      </c>
      <c r="D17" s="6">
        <f>D9*Assumptions!$D$9</f>
        <v>10720000</v>
      </c>
    </row>
    <row r="18" spans="1:4" x14ac:dyDescent="0.2">
      <c r="A18" s="5" t="s">
        <v>23</v>
      </c>
      <c r="B18" s="6">
        <f>B10*Assumptions!$B$24*Assumptions!$B$12</f>
        <v>23867.199999999997</v>
      </c>
      <c r="C18" s="6">
        <f>C10*Assumptions!$B$24*Assumptions!$B$12</f>
        <v>167070.39999999999</v>
      </c>
      <c r="D18" s="6">
        <f>D10*Assumptions!$B$24*Assumptions!$B$12</f>
        <v>501211.19999999995</v>
      </c>
    </row>
    <row r="19" spans="1:4" x14ac:dyDescent="0.2">
      <c r="A19" s="5" t="s">
        <v>24</v>
      </c>
      <c r="B19" s="6">
        <f>B11*Assumptions!$B$13</f>
        <v>24700</v>
      </c>
      <c r="C19" s="6">
        <f>C11*Assumptions!$B$13</f>
        <v>98800</v>
      </c>
      <c r="D19" s="6">
        <f>D11*Assumptions!$B$13</f>
        <v>321100</v>
      </c>
    </row>
    <row r="21" spans="1:4" x14ac:dyDescent="0.2">
      <c r="A21" s="11" t="s">
        <v>38</v>
      </c>
      <c r="B21" s="13">
        <f>SUM(B14:B19)</f>
        <v>260367.2</v>
      </c>
      <c r="C21" s="13">
        <f>SUM(C14:C19)</f>
        <v>1813270.4</v>
      </c>
      <c r="D21" s="13">
        <f>SUM(D14:D19)</f>
        <v>16641111.199999999</v>
      </c>
    </row>
    <row r="23" spans="1:4" x14ac:dyDescent="0.2">
      <c r="A23" t="s">
        <v>39</v>
      </c>
      <c r="B23" s="6">
        <f>B21*Assumptions!$B$27</f>
        <v>0</v>
      </c>
      <c r="C23" s="6">
        <f>C21*Assumptions!$B$27</f>
        <v>0</v>
      </c>
      <c r="D23" s="6">
        <f>D21*Assumptions!$B$27</f>
        <v>0</v>
      </c>
    </row>
    <row r="24" spans="1:4" x14ac:dyDescent="0.2">
      <c r="A24" s="11" t="s">
        <v>40</v>
      </c>
      <c r="B24" s="13">
        <f>B21-B23</f>
        <v>260367.2</v>
      </c>
      <c r="C24" s="13">
        <f>C21-C23</f>
        <v>1813270.4</v>
      </c>
      <c r="D24" s="13">
        <f>D21-D23</f>
        <v>16641111.199999999</v>
      </c>
    </row>
    <row r="26" spans="1:4" x14ac:dyDescent="0.2">
      <c r="A26" t="s">
        <v>41</v>
      </c>
      <c r="B26" s="6">
        <f>B21*Assumptions!$B$28</f>
        <v>0</v>
      </c>
      <c r="C26" s="6">
        <f>C21*Assumptions!$B$28</f>
        <v>0</v>
      </c>
      <c r="D26" s="6">
        <f>D21*Assumptions!$B$28</f>
        <v>0</v>
      </c>
    </row>
    <row r="27" spans="1:4" x14ac:dyDescent="0.2">
      <c r="A27" t="s">
        <v>42</v>
      </c>
      <c r="B27" s="6">
        <f>B21*Assumptions!$B$29</f>
        <v>0</v>
      </c>
      <c r="C27" s="6">
        <f>C21*Assumptions!$B$29</f>
        <v>0</v>
      </c>
      <c r="D27" s="6">
        <f>D21*Assumptions!$B$29</f>
        <v>0</v>
      </c>
    </row>
    <row r="28" spans="1:4" x14ac:dyDescent="0.2">
      <c r="A28" t="s">
        <v>43</v>
      </c>
      <c r="B28" s="6">
        <f>Assumptions!$B$30</f>
        <v>0</v>
      </c>
      <c r="C28" s="6">
        <f>Assumptions!$B$30</f>
        <v>0</v>
      </c>
      <c r="D28" s="6">
        <f>Assumptions!$B$30</f>
        <v>0</v>
      </c>
    </row>
    <row r="30" spans="1:4" x14ac:dyDescent="0.2">
      <c r="A30" s="14" t="s">
        <v>44</v>
      </c>
      <c r="B30" s="15">
        <f>B24-SUM(B26:B28)</f>
        <v>260367.2</v>
      </c>
      <c r="C30" s="15">
        <f>C24-SUM(C26:C28)</f>
        <v>1813270.4</v>
      </c>
      <c r="D30" s="15">
        <f>D24-SUM(D26:D28)</f>
        <v>16641111.199999999</v>
      </c>
    </row>
  </sheetData>
  <mergeCells count="1">
    <mergeCell ref="A2:D2"/>
  </mergeCells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16" x14ac:dyDescent="0.2">
      <c r="A1" s="16" t="s">
        <v>45</v>
      </c>
    </row>
    <row r="2" spans="1:1" ht="28" x14ac:dyDescent="0.2">
      <c r="A2" s="17" t="s">
        <v>46</v>
      </c>
    </row>
    <row r="3" spans="1:1" ht="42" x14ac:dyDescent="0.2">
      <c r="A3" s="17" t="s">
        <v>47</v>
      </c>
    </row>
    <row r="4" spans="1:1" x14ac:dyDescent="0.2">
      <c r="A4" s="17" t="s">
        <v>48</v>
      </c>
    </row>
    <row r="5" spans="1:1" x14ac:dyDescent="0.2">
      <c r="A5" s="17" t="s">
        <v>49</v>
      </c>
    </row>
    <row r="6" spans="1:1" x14ac:dyDescent="0.2">
      <c r="A6" s="17"/>
    </row>
    <row r="7" spans="1:1" ht="16" x14ac:dyDescent="0.2">
      <c r="A7" s="16" t="s">
        <v>50</v>
      </c>
    </row>
    <row r="8" spans="1:1" ht="28" x14ac:dyDescent="0.2">
      <c r="A8" s="17" t="s">
        <v>51</v>
      </c>
    </row>
    <row r="9" spans="1:1" ht="28" x14ac:dyDescent="0.2">
      <c r="A9" s="17" t="s">
        <v>52</v>
      </c>
    </row>
    <row r="10" spans="1:1" x14ac:dyDescent="0.2">
      <c r="A10" s="17"/>
    </row>
    <row r="11" spans="1:1" ht="16" x14ac:dyDescent="0.2">
      <c r="A11" s="16" t="s">
        <v>53</v>
      </c>
    </row>
    <row r="12" spans="1:1" ht="42" x14ac:dyDescent="0.2">
      <c r="A12" s="17" t="s">
        <v>54</v>
      </c>
    </row>
    <row r="13" spans="1:1" x14ac:dyDescent="0.2">
      <c r="A13" s="17" t="s">
        <v>55</v>
      </c>
    </row>
    <row r="14" spans="1:1" ht="42" x14ac:dyDescent="0.2">
      <c r="A14" s="17" t="s">
        <v>56</v>
      </c>
    </row>
    <row r="15" spans="1:1" x14ac:dyDescent="0.2">
      <c r="A15" s="17"/>
    </row>
    <row r="16" spans="1:1" ht="16" x14ac:dyDescent="0.2">
      <c r="A16" s="16" t="s">
        <v>57</v>
      </c>
    </row>
    <row r="17" spans="1:1" ht="28" x14ac:dyDescent="0.2">
      <c r="A17" s="17" t="s">
        <v>58</v>
      </c>
    </row>
  </sheetData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3-Year Projection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J.W. Coleman</cp:lastModifiedBy>
  <cp:revision>0</cp:revision>
  <cp:lastPrinted>2026-06-29T18:02:45Z</cp:lastPrinted>
  <dcterms:created xsi:type="dcterms:W3CDTF">2026-06-29T17:50:41Z</dcterms:created>
  <dcterms:modified xsi:type="dcterms:W3CDTF">2026-06-29T18:07:08Z</dcterms:modified>
  <dc:language>en-US</dc:language>
</cp:coreProperties>
</file>